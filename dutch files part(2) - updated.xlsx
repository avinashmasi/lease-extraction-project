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14" activeTab="26" autoFilterDateGrouping="1"/>
  </bookViews>
  <sheets>
    <sheet name="Summary" sheetId="1" state="visible" r:id="rId1"/>
    <sheet name="Page Summary" sheetId="2" state="visible" r:id="rId2"/>
    <sheet name="Token Summary" sheetId="3" state="visible" r:id="rId3"/>
    <sheet name="Token by Model" sheetId="4" state="visible" r:id="rId4"/>
    <sheet name="Token by Document" sheetId="5" state="visible" r:id="rId5"/>
    <sheet name="Field 1" sheetId="6" state="visible" r:id="rId6"/>
    <sheet name="Field 2" sheetId="7" state="visible" r:id="rId7"/>
    <sheet name="Field 3" sheetId="8" state="visible" r:id="rId8"/>
    <sheet name="Field 4" sheetId="9" state="visible" r:id="rId9"/>
    <sheet name="Field 5" sheetId="10" state="visible" r:id="rId10"/>
    <sheet name="Field 6" sheetId="11" state="visible" r:id="rId11"/>
    <sheet name="Field 7" sheetId="12" state="visible" r:id="rId12"/>
    <sheet name="Field 8" sheetId="13" state="visible" r:id="rId13"/>
    <sheet name="Field 9" sheetId="14" state="visible" r:id="rId14"/>
    <sheet name="Field 10" sheetId="15" state="visible" r:id="rId15"/>
    <sheet name="Field 11" sheetId="16" state="visible" r:id="rId16"/>
    <sheet name="Field 12" sheetId="17" state="visible" r:id="rId17"/>
    <sheet name="Field 13" sheetId="18" state="visible" r:id="rId18"/>
    <sheet name="Field 14" sheetId="19" state="visible" r:id="rId19"/>
    <sheet name="Field 15" sheetId="20" state="visible" r:id="rId20"/>
    <sheet name="Field 16" sheetId="21" state="visible" r:id="rId21"/>
    <sheet name="Field 17" sheetId="22" state="visible" r:id="rId22"/>
    <sheet name="Field 18" sheetId="23" state="visible" r:id="rId23"/>
    <sheet name="Field 19" sheetId="24" state="visible" r:id="rId24"/>
    <sheet name="Field 20" sheetId="25" state="visible" r:id="rId25"/>
    <sheet name="Field 21" sheetId="26" state="visible" r:id="rId26"/>
    <sheet name="Field 22" sheetId="27" state="visible" r:id="rId27"/>
    <sheet name="Field 23" sheetId="28" state="visible" r:id="rId28"/>
    <sheet name="Field 24" sheetId="29" state="visible" r:id="rId29"/>
    <sheet name="Field 25" sheetId="30" state="visible" r:id="rId30"/>
    <sheet name="Field 26" sheetId="31" state="visible" r:id="rId31"/>
    <sheet name="Field 27" sheetId="32" state="visible" r:id="rId32"/>
    <sheet name="Field 28" sheetId="33" state="visible" r:id="rId33"/>
    <sheet name="Field 29" sheetId="34" state="visible" r:id="rId34"/>
    <sheet name="Field 30" sheetId="35" state="visible" r:id="rId35"/>
    <sheet name="Field 31" sheetId="36" state="visible" r:id="rId36"/>
    <sheet name="Field 32" sheetId="37" state="visible" r:id="rId37"/>
    <sheet name="Field 33" sheetId="38" state="visible" r:id="rId38"/>
    <sheet name="Field 34" sheetId="39" state="visible" r:id="rId39"/>
    <sheet name="Field 35" sheetId="40" state="visible" r:id="rId40"/>
    <sheet name="Field 36" sheetId="41" state="visible" r:id="rId41"/>
    <sheet name="Field 37" sheetId="42" state="visible" r:id="rId42"/>
    <sheet name="Field 38" sheetId="43" state="visible" r:id="rId43"/>
    <sheet name="Field 39" sheetId="44" state="visible" r:id="rId44"/>
    <sheet name="Field 40" sheetId="45" state="visible" r:id="rId45"/>
    <sheet name="Field 41" sheetId="46" state="visible" r:id="rId46"/>
    <sheet name="Field 42" sheetId="47" state="visible" r:id="rId47"/>
    <sheet name="Field 43" sheetId="48" state="visible" r:id="rId48"/>
    <sheet name="Field 44" sheetId="49" state="visible" r:id="rId49"/>
    <sheet name="Field 45" sheetId="50" state="visible" r:id="rId50"/>
    <sheet name="Field 46" sheetId="51" state="visible" r:id="rId51"/>
    <sheet name="Field 47" sheetId="52" state="visible" r:id="rId52"/>
    <sheet name="Field 48" sheetId="53" state="visible" r:id="rId53"/>
    <sheet name="Field 49" sheetId="54" state="visible" r:id="rId54"/>
    <sheet name="Field 50" sheetId="55" state="visible" r:id="rId55"/>
    <sheet name="Field 51" sheetId="56" state="visible" r:id="rId56"/>
    <sheet name="Field 52" sheetId="57" state="visible" r:id="rId57"/>
    <sheet name="Field 53" sheetId="58" state="visible" r:id="rId58"/>
    <sheet name="Field 54" sheetId="59" state="visible" r:id="rId59"/>
    <sheet name="Field 55" sheetId="60" state="visible" r:id="rId60"/>
    <sheet name="Field 56" sheetId="61" state="visible" r:id="rId61"/>
    <sheet name="Field 57" sheetId="62" state="visible" r:id="rId62"/>
    <sheet name="Field 58" sheetId="63" state="visible" r:id="rId63"/>
    <sheet name="Field 59" sheetId="64" state="visible" r:id="rId64"/>
    <sheet name="Field 60" sheetId="65" state="visible" r:id="rId65"/>
    <sheet name="Field 61" sheetId="66" state="visible" r:id="rId66"/>
    <sheet name="Field 62" sheetId="67" state="visible" r:id="rId67"/>
    <sheet name="Field 63" sheetId="68" state="visible" r:id="rId68"/>
    <sheet name="Field 64" sheetId="69" state="visible" r:id="rId69"/>
  </sheets>
  <definedNames/>
  <calcPr calcId="191029" fullCalcOnLoad="1"/>
</workbook>
</file>

<file path=xl/styles.xml><?xml version="1.0" encoding="utf-8"?>
<styleSheet xmlns="http://schemas.openxmlformats.org/spreadsheetml/2006/main">
  <numFmts count="2">
    <numFmt numFmtId="164" formatCode="#,##0.000000"/>
    <numFmt numFmtId="165" formatCode="#,##0.####"/>
  </numFmts>
  <fonts count="7">
    <font>
      <name val="Calibri"/>
      <family val="2"/>
      <color theme="1"/>
      <sz val="11"/>
      <scheme val="minor"/>
    </font>
    <font>
      <name val="Calibri"/>
      <family val="2"/>
      <b val="1"/>
      <sz val="14"/>
    </font>
    <font>
      <name val="Calibri"/>
      <family val="2"/>
      <b val="1"/>
      <color rgb="FFFFFFFF"/>
      <sz val="11"/>
    </font>
    <font>
      <name val="Calibri"/>
      <family val="2"/>
      <b val="1"/>
      <sz val="11"/>
    </font>
    <font>
      <name val="Calibri"/>
      <family val="2"/>
      <color theme="10"/>
      <sz val="12"/>
      <scheme val="minor"/>
    </font>
    <font>
      <name val="Calibri"/>
      <family val="2"/>
      <i val="1"/>
      <sz val="9"/>
    </font>
    <font>
      <name val="Calibri"/>
      <family val="2"/>
      <color rgb="FF9C0006"/>
      <sz val="11"/>
      <scheme val="minor"/>
    </font>
  </fonts>
  <fills count="6">
    <fill>
      <patternFill/>
    </fill>
    <fill>
      <patternFill patternType="gray125"/>
    </fill>
    <fill>
      <patternFill patternType="solid">
        <fgColor rgb="FF1F4E78"/>
      </patternFill>
    </fill>
    <fill>
      <patternFill patternType="solid">
        <fgColor rgb="FFFFF2CC"/>
      </patternFill>
    </fill>
    <fill>
      <patternFill patternType="solid">
        <fgColor rgb="FFFFC7CE"/>
      </patternFill>
    </fill>
    <fill>
      <patternFill patternType="solid">
        <fgColor rgb="FFFFC7CE"/>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4" fillId="0" borderId="0"/>
    <xf numFmtId="0" fontId="6" fillId="4" borderId="0"/>
  </cellStyleXfs>
  <cellXfs count="38">
    <xf numFmtId="0" fontId="0" fillId="0" borderId="0" pivotButton="0" quotePrefix="0" xfId="0"/>
    <xf numFmtId="0" fontId="1" fillId="0" borderId="0" pivotButton="0" quotePrefix="0" xfId="0"/>
    <xf numFmtId="0" fontId="2" fillId="2" borderId="1" pivotButton="0" quotePrefix="0" xfId="0"/>
    <xf numFmtId="0" fontId="4" fillId="0" borderId="1" pivotButton="0" quotePrefix="0" xfId="1"/>
    <xf numFmtId="9" fontId="0" fillId="0" borderId="1" pivotButton="0" quotePrefix="0" xfId="0"/>
    <xf numFmtId="1" fontId="0" fillId="0" borderId="1" pivotButton="0" quotePrefix="0" xfId="0"/>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0" fontId="3" fillId="0" borderId="1" pivotButton="0" quotePrefix="0" xfId="0"/>
    <xf numFmtId="3" fontId="3" fillId="0" borderId="1" pivotButton="0" quotePrefix="0" xfId="0"/>
    <xf numFmtId="164" fontId="3" fillId="0" borderId="1" pivotButton="0" quotePrefix="0" xfId="0"/>
    <xf numFmtId="0" fontId="4" fillId="0" borderId="0" pivotButton="0" quotePrefix="0" xfId="1"/>
    <xf numFmtId="0" fontId="0" fillId="3" borderId="1" pivotButton="0" quotePrefix="0" xfId="0"/>
    <xf numFmtId="0" fontId="0" fillId="3" borderId="1" applyAlignment="1" pivotButton="0" quotePrefix="0" xfId="0">
      <alignment vertical="top" wrapText="1"/>
    </xf>
    <xf numFmtId="0" fontId="2" fillId="2" borderId="0" pivotButton="0" quotePrefix="0" xfId="0"/>
    <xf numFmtId="0" fontId="3" fillId="0" borderId="0" pivotButton="0" quotePrefix="0" xfId="0"/>
    <xf numFmtId="9" fontId="0" fillId="0" borderId="0" pivotButton="0" quotePrefix="0" xfId="0"/>
    <xf numFmtId="1" fontId="0" fillId="0" borderId="0" pivotButton="0" quotePrefix="0" xfId="0"/>
    <xf numFmtId="0" fontId="5" fillId="0" borderId="0" pivotButton="0" quotePrefix="0" xfId="0"/>
    <xf numFmtId="0" fontId="0" fillId="3" borderId="1" applyAlignment="1" pivotButton="0" quotePrefix="0" xfId="0">
      <alignment horizontal="center" vertical="center"/>
    </xf>
    <xf numFmtId="0" fontId="0" fillId="3" borderId="1" applyAlignment="1" pivotButton="0" quotePrefix="0" xfId="0">
      <alignment horizontal="center" vertical="center" wrapText="1"/>
    </xf>
    <xf numFmtId="14" fontId="0" fillId="3" borderId="1" applyAlignment="1" pivotButton="0" quotePrefix="0" xfId="0">
      <alignment horizontal="center" vertical="center"/>
    </xf>
    <xf numFmtId="0" fontId="6" fillId="4" borderId="1" applyAlignment="1" pivotButton="0" quotePrefix="0" xfId="2">
      <alignment horizontal="center" vertical="center"/>
    </xf>
    <xf numFmtId="0" fontId="6" fillId="4" borderId="1" applyAlignment="1" pivotButton="0" quotePrefix="0" xfId="2">
      <alignment horizontal="center" vertical="center" wrapText="1"/>
    </xf>
    <xf numFmtId="0" fontId="6" fillId="4" borderId="1" pivotButton="0" quotePrefix="0" xfId="2"/>
    <xf numFmtId="14" fontId="0" fillId="3" borderId="1" applyAlignment="1" pivotButton="0" quotePrefix="0" xfId="0">
      <alignment horizontal="left"/>
    </xf>
    <xf numFmtId="0" fontId="0" fillId="3" borderId="1" applyAlignment="1" pivotButton="0" quotePrefix="0" xfId="0">
      <alignment horizontal="left"/>
    </xf>
    <xf numFmtId="14" fontId="0" fillId="3" borderId="1" applyAlignment="1" pivotButton="0" quotePrefix="0" xfId="0">
      <alignment horizontal="left" vertical="center"/>
    </xf>
    <xf numFmtId="0" fontId="0" fillId="3" borderId="1" applyAlignment="1" pivotButton="0" quotePrefix="0" xfId="0">
      <alignment horizontal="left" vertical="center"/>
    </xf>
    <xf numFmtId="0" fontId="0" fillId="3" borderId="1" applyAlignment="1" pivotButton="0" quotePrefix="0" xfId="0">
      <alignment horizontal="left" vertical="center" wrapText="1"/>
    </xf>
    <xf numFmtId="14" fontId="6" fillId="4" borderId="1" applyAlignment="1" pivotButton="0" quotePrefix="0" xfId="2">
      <alignment horizontal="left" vertical="center"/>
    </xf>
    <xf numFmtId="0" fontId="6" fillId="4" borderId="1" applyAlignment="1" pivotButton="0" quotePrefix="0" xfId="2">
      <alignment horizontal="left" vertical="center" wrapText="1"/>
    </xf>
    <xf numFmtId="0" fontId="6" fillId="4" borderId="1" applyAlignment="1" pivotButton="0" quotePrefix="0" xfId="2">
      <alignment horizontal="left" vertical="center"/>
    </xf>
    <xf numFmtId="0" fontId="6" fillId="4" borderId="1" applyAlignment="1" pivotButton="0" quotePrefix="0" xfId="2">
      <alignment horizontal="left"/>
    </xf>
    <xf numFmtId="0" fontId="6" fillId="4" borderId="1" applyAlignment="1" pivotButton="0" quotePrefix="0" xfId="2">
      <alignment vertical="top" wrapText="1"/>
    </xf>
    <xf numFmtId="0" fontId="6" fillId="5" borderId="1" pivotButton="0" quotePrefix="0" xfId="0"/>
  </cellXfs>
  <cellStyles count="3">
    <cellStyle name="Normal" xfId="0" builtinId="0"/>
    <cellStyle name="Hyperlink" xfId="1" builtinId="8"/>
    <cellStyle name="Bad" xfId="2" builtinId="2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styles" Target="styles.xml" Id="rId70" /><Relationship Type="http://schemas.openxmlformats.org/officeDocument/2006/relationships/theme" Target="theme/theme1.xml" Id="rId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pane ySplit="3" topLeftCell="A6" activePane="bottomLeft" state="frozen"/>
      <selection pane="bottomLeft" activeCell="A21" sqref="A21"/>
    </sheetView>
  </sheetViews>
  <sheetFormatPr baseColWidth="8" defaultRowHeight="14.4"/>
  <cols>
    <col width="50" customWidth="1" min="1" max="1"/>
    <col width="12" customWidth="1" min="2" max="4"/>
    <col width="16" customWidth="1" min="5" max="6"/>
    <col width="22" customWidth="1" min="7" max="7"/>
    <col width="24" customWidth="1" min="8" max="8"/>
  </cols>
  <sheetData>
    <row r="1" ht="18" customHeight="1">
      <c r="A1" s="1" t="inlineStr">
        <is>
          <t>Field-wise Validation Summary</t>
        </is>
      </c>
    </row>
    <row r="3">
      <c r="A3" s="2" t="inlineStr">
        <is>
          <t>Field</t>
        </is>
      </c>
      <c r="B3" s="2" t="inlineStr">
        <is>
          <t>Precision</t>
        </is>
      </c>
      <c r="C3" s="2" t="inlineStr">
        <is>
          <t>Recall</t>
        </is>
      </c>
      <c r="D3" s="2" t="inlineStr">
        <is>
          <t>F1 Score</t>
        </is>
      </c>
      <c r="E3" s="2" t="inlineStr">
        <is>
          <t>Accuracy % (With Not Exist)</t>
        </is>
      </c>
      <c r="F3" s="2" t="inlineStr">
        <is>
          <t>Total Docs Tested</t>
        </is>
      </c>
      <c r="G3" s="2" t="inlineStr">
        <is>
          <t>No Of Docs With Data</t>
        </is>
      </c>
      <c r="H3" s="2" t="inlineStr">
        <is>
          <t>No Of Docs With Response</t>
        </is>
      </c>
    </row>
    <row r="4" ht="15.6" customHeight="1">
      <c r="A4" s="3" t="inlineStr">
        <is>
          <t>Companies / company_name</t>
        </is>
      </c>
      <c r="B4" s="4">
        <f>'Field 1'!$L$3</f>
        <v/>
      </c>
      <c r="C4" s="4">
        <f>'Field 1'!$L$4</f>
        <v/>
      </c>
      <c r="D4" s="4">
        <f>'Field 1'!$L$5</f>
        <v/>
      </c>
      <c r="E4" s="4">
        <f>'Field 1'!$L$6</f>
        <v/>
      </c>
      <c r="F4" s="5">
        <f>'Field 1'!$L$7</f>
        <v/>
      </c>
      <c r="G4" s="5">
        <f>'Field 1'!$L$8</f>
        <v/>
      </c>
      <c r="H4" s="5">
        <f>'Field 1'!$L$9</f>
        <v/>
      </c>
    </row>
    <row r="5" ht="15.6" customHeight="1">
      <c r="A5" s="3" t="inlineStr">
        <is>
          <t>Companies / role_desc</t>
        </is>
      </c>
      <c r="B5" s="4">
        <f>'Field 2'!$L$3</f>
        <v/>
      </c>
      <c r="C5" s="4">
        <f>'Field 2'!$L$4</f>
        <v/>
      </c>
      <c r="D5" s="4">
        <f>'Field 2'!$L$5</f>
        <v/>
      </c>
      <c r="E5" s="4">
        <f>'Field 2'!$L$6</f>
        <v/>
      </c>
      <c r="F5" s="5">
        <f>'Field 2'!$L$7</f>
        <v/>
      </c>
      <c r="G5" s="5">
        <f>'Field 2'!$L$8</f>
        <v/>
      </c>
      <c r="H5" s="5">
        <f>'Field 2'!$L$9</f>
        <v/>
      </c>
    </row>
    <row r="6" ht="15.6" customHeight="1">
      <c r="A6" s="3" t="inlineStr">
        <is>
          <t>Lease_Comp_Details / act_1954_f</t>
        </is>
      </c>
      <c r="B6" s="4">
        <f>'Field 3'!$L$3</f>
        <v/>
      </c>
      <c r="C6" s="4">
        <f>'Field 3'!$L$4</f>
        <v/>
      </c>
      <c r="D6" s="4">
        <f>'Field 3'!$L$5</f>
        <v/>
      </c>
      <c r="E6" s="4">
        <f>'Field 3'!$L$6</f>
        <v/>
      </c>
      <c r="F6" s="5">
        <f>'Field 3'!$L$7</f>
        <v/>
      </c>
      <c r="G6" s="5">
        <f>'Field 3'!$L$8</f>
        <v/>
      </c>
      <c r="H6" s="5">
        <f>'Field 3'!$L$9</f>
        <v/>
      </c>
    </row>
    <row r="7" ht="15.6" customHeight="1">
      <c r="A7" s="3" t="inlineStr">
        <is>
          <t>Lease_Comp_Details / arrangement_end_action_status_reason_type_desc</t>
        </is>
      </c>
      <c r="B7" s="4">
        <f>'Field 4'!$L$3</f>
        <v/>
      </c>
      <c r="C7" s="4">
        <f>'Field 4'!$L$4</f>
        <v/>
      </c>
      <c r="D7" s="4">
        <f>'Field 4'!$L$5</f>
        <v/>
      </c>
      <c r="E7" s="4">
        <f>'Field 4'!$L$6</f>
        <v/>
      </c>
      <c r="F7" s="5">
        <f>'Field 4'!$L$7</f>
        <v/>
      </c>
      <c r="G7" s="5">
        <f>'Field 4'!$L$8</f>
        <v/>
      </c>
      <c r="H7" s="5">
        <f>'Field 4'!$L$9</f>
        <v/>
      </c>
    </row>
    <row r="8" ht="15.6" customHeight="1">
      <c r="A8" s="3" t="inlineStr">
        <is>
          <t>Lease_Comp_Details / arrangement_end_action_status_type_desc</t>
        </is>
      </c>
      <c r="B8" s="4">
        <f>'Field 5'!$L$3</f>
        <v/>
      </c>
      <c r="C8" s="4">
        <f>'Field 5'!$L$4</f>
        <v/>
      </c>
      <c r="D8" s="4">
        <f>'Field 5'!$L$5</f>
        <v/>
      </c>
      <c r="E8" s="4">
        <f>'Field 5'!$L$6</f>
        <v/>
      </c>
      <c r="F8" s="5">
        <f>'Field 5'!$L$7</f>
        <v/>
      </c>
      <c r="G8" s="5">
        <f>'Field 5'!$L$8</f>
        <v/>
      </c>
      <c r="H8" s="5">
        <f>'Field 5'!$L$9</f>
        <v/>
      </c>
    </row>
    <row r="9" ht="15.6" customHeight="1">
      <c r="A9" s="3" t="inlineStr">
        <is>
          <t>Lease_Comp_Details / arrangement_end_future_action_date</t>
        </is>
      </c>
      <c r="B9" s="4">
        <f>'Field 6'!$L$3</f>
        <v/>
      </c>
      <c r="C9" s="4">
        <f>'Field 6'!$L$4</f>
        <v/>
      </c>
      <c r="D9" s="4">
        <f>'Field 6'!$L$5</f>
        <v/>
      </c>
      <c r="E9" s="4">
        <f>'Field 6'!$L$6</f>
        <v/>
      </c>
      <c r="F9" s="5">
        <f>'Field 6'!$L$7</f>
        <v/>
      </c>
      <c r="G9" s="5">
        <f>'Field 6'!$L$8</f>
        <v/>
      </c>
      <c r="H9" s="5">
        <f>'Field 6'!$L$9</f>
        <v/>
      </c>
    </row>
    <row r="10" ht="15.6" customHeight="1">
      <c r="A10" s="3" t="inlineStr">
        <is>
          <t>Lease_Comp_Details / arrangement_end_future_action_type_desc</t>
        </is>
      </c>
      <c r="B10" s="4">
        <f>'Field 7'!$L$3</f>
        <v/>
      </c>
      <c r="C10" s="4">
        <f>'Field 7'!$L$4</f>
        <v/>
      </c>
      <c r="D10" s="4">
        <f>'Field 7'!$L$5</f>
        <v/>
      </c>
      <c r="E10" s="4">
        <f>'Field 7'!$L$6</f>
        <v/>
      </c>
      <c r="F10" s="5">
        <f>'Field 7'!$L$7</f>
        <v/>
      </c>
      <c r="G10" s="5">
        <f>'Field 7'!$L$8</f>
        <v/>
      </c>
      <c r="H10" s="5">
        <f>'Field 7'!$L$9</f>
        <v/>
      </c>
    </row>
    <row r="11" ht="15.6" customHeight="1">
      <c r="A11" s="3" t="inlineStr">
        <is>
          <t>Lease_Comp_Details / lease_arrangement_reason_type_desc</t>
        </is>
      </c>
      <c r="B11" s="4">
        <f>'Field 8'!$L$3</f>
        <v/>
      </c>
      <c r="C11" s="4">
        <f>'Field 8'!$L$4</f>
        <v/>
      </c>
      <c r="D11" s="4">
        <f>'Field 8'!$L$5</f>
        <v/>
      </c>
      <c r="E11" s="4">
        <f>'Field 8'!$L$6</f>
        <v/>
      </c>
      <c r="F11" s="5">
        <f>'Field 8'!$L$7</f>
        <v/>
      </c>
      <c r="G11" s="5">
        <f>'Field 8'!$L$8</f>
        <v/>
      </c>
      <c r="H11" s="5">
        <f>'Field 8'!$L$9</f>
        <v/>
      </c>
    </row>
    <row r="12" ht="15.6" customHeight="1">
      <c r="A12" s="3" t="inlineStr">
        <is>
          <t>Lease_Comp_Details / ref_lease_activity_type_desc</t>
        </is>
      </c>
      <c r="B12" s="4">
        <f>'Field 9'!$L$3</f>
        <v/>
      </c>
      <c r="C12" s="4">
        <f>'Field 9'!$L$4</f>
        <v/>
      </c>
      <c r="D12" s="4">
        <f>'Field 9'!$L$5</f>
        <v/>
      </c>
      <c r="E12" s="4">
        <f>'Field 9'!$L$6</f>
        <v/>
      </c>
      <c r="F12" s="5">
        <f>'Field 9'!$L$7</f>
        <v/>
      </c>
      <c r="G12" s="5">
        <f>'Field 9'!$L$8</f>
        <v/>
      </c>
      <c r="H12" s="5">
        <f>'Field 9'!$L$9</f>
        <v/>
      </c>
    </row>
    <row r="13" ht="15.6" customHeight="1">
      <c r="A13" s="3" t="inlineStr">
        <is>
          <t>Lease_Comp_Details / ref_lease_arrangement_type_desc</t>
        </is>
      </c>
      <c r="B13" s="4">
        <f>'Field 10'!$L$3</f>
        <v/>
      </c>
      <c r="C13" s="4">
        <f>'Field 10'!$L$4</f>
        <v/>
      </c>
      <c r="D13" s="4">
        <f>'Field 10'!$L$5</f>
        <v/>
      </c>
      <c r="E13" s="4">
        <f>'Field 10'!$L$6</f>
        <v/>
      </c>
      <c r="F13" s="5">
        <f>'Field 10'!$L$7</f>
        <v/>
      </c>
      <c r="G13" s="5">
        <f>'Field 10'!$L$8</f>
        <v/>
      </c>
      <c r="H13" s="5">
        <f>'Field 10'!$L$9</f>
        <v/>
      </c>
    </row>
    <row r="14" ht="15.6" customHeight="1">
      <c r="A14" s="3" t="inlineStr">
        <is>
          <t>Lease_Comp_Details / ref_total_leased_space_uom_desc</t>
        </is>
      </c>
      <c r="B14" s="4">
        <f>'Field 11'!$L$3</f>
        <v/>
      </c>
      <c r="C14" s="4">
        <f>'Field 11'!$L$4</f>
        <v/>
      </c>
      <c r="D14" s="4">
        <f>'Field 11'!$L$5</f>
        <v/>
      </c>
      <c r="E14" s="4">
        <f>'Field 11'!$L$6</f>
        <v/>
      </c>
      <c r="F14" s="5">
        <f>'Field 11'!$L$7</f>
        <v/>
      </c>
      <c r="G14" s="5">
        <f>'Field 11'!$L$8</f>
        <v/>
      </c>
      <c r="H14" s="5">
        <f>'Field 11'!$L$9</f>
        <v/>
      </c>
    </row>
    <row r="15" ht="15.6" customHeight="1">
      <c r="A15" s="3" t="inlineStr">
        <is>
          <t>Lease_Comp_Details / space_condition_type_desc</t>
        </is>
      </c>
      <c r="B15" s="4">
        <f>'Field 12'!$L$3</f>
        <v/>
      </c>
      <c r="C15" s="4">
        <f>'Field 12'!$L$4</f>
        <v/>
      </c>
      <c r="D15" s="4">
        <f>'Field 12'!$L$5</f>
        <v/>
      </c>
      <c r="E15" s="4">
        <f>'Field 12'!$L$6</f>
        <v/>
      </c>
      <c r="F15" s="5">
        <f>'Field 12'!$L$7</f>
        <v/>
      </c>
      <c r="G15" s="5">
        <f>'Field 12'!$L$8</f>
        <v/>
      </c>
      <c r="H15" s="5">
        <f>'Field 12'!$L$9</f>
        <v/>
      </c>
    </row>
    <row r="16" ht="15.6" customHeight="1">
      <c r="A16" s="3" t="inlineStr">
        <is>
          <t>Lease_Comp_Details / sublease_f</t>
        </is>
      </c>
      <c r="B16" s="4">
        <f>'Field 13'!$L$3</f>
        <v/>
      </c>
      <c r="C16" s="4">
        <f>'Field 13'!$L$4</f>
        <v/>
      </c>
      <c r="D16" s="4">
        <f>'Field 13'!$L$5</f>
        <v/>
      </c>
      <c r="E16" s="4">
        <f>'Field 13'!$L$6</f>
        <v/>
      </c>
      <c r="F16" s="5">
        <f>'Field 13'!$L$7</f>
        <v/>
      </c>
      <c r="G16" s="5">
        <f>'Field 13'!$L$8</f>
        <v/>
      </c>
      <c r="H16" s="5">
        <f>'Field 13'!$L$9</f>
        <v/>
      </c>
    </row>
    <row r="17" ht="15.6" customHeight="1">
      <c r="A17" s="3" t="inlineStr">
        <is>
          <t>Lease_Comp_Details / tenant_status_type_desc</t>
        </is>
      </c>
      <c r="B17" s="4">
        <f>'Field 14'!$L$3</f>
        <v/>
      </c>
      <c r="C17" s="4">
        <f>'Field 14'!$L$4</f>
        <v/>
      </c>
      <c r="D17" s="4">
        <f>'Field 14'!$L$5</f>
        <v/>
      </c>
      <c r="E17" s="4">
        <f>'Field 14'!$L$6</f>
        <v/>
      </c>
      <c r="F17" s="5">
        <f>'Field 14'!$L$7</f>
        <v/>
      </c>
      <c r="G17" s="5">
        <f>'Field 14'!$L$8</f>
        <v/>
      </c>
      <c r="H17" s="5">
        <f>'Field 14'!$L$9</f>
        <v/>
      </c>
    </row>
    <row r="18" ht="15.6" customHeight="1">
      <c r="A18" s="3" t="inlineStr">
        <is>
          <t>Lease_Comp_Details / total_leased_space</t>
        </is>
      </c>
      <c r="B18" s="4">
        <f>'Field 15'!$L$3</f>
        <v/>
      </c>
      <c r="C18" s="4">
        <f>'Field 15'!$L$4</f>
        <v/>
      </c>
      <c r="D18" s="4">
        <f>'Field 15'!$L$5</f>
        <v/>
      </c>
      <c r="E18" s="4">
        <f>'Field 15'!$L$6</f>
        <v/>
      </c>
      <c r="F18" s="5">
        <f>'Field 15'!$L$7</f>
        <v/>
      </c>
      <c r="G18" s="5">
        <f>'Field 15'!$L$8</f>
        <v/>
      </c>
      <c r="H18" s="5">
        <f>'Field 15'!$L$9</f>
        <v/>
      </c>
    </row>
    <row r="19" ht="15.6" customHeight="1">
      <c r="A19" s="3" t="inlineStr">
        <is>
          <t>Lease_Comp_Details / total_leased_space_estimated_f</t>
        </is>
      </c>
      <c r="B19" s="4">
        <f>'Field 16'!$L$3</f>
        <v/>
      </c>
      <c r="C19" s="4">
        <f>'Field 16'!$L$4</f>
        <v/>
      </c>
      <c r="D19" s="4">
        <f>'Field 16'!$L$5</f>
        <v/>
      </c>
      <c r="E19" s="4">
        <f>'Field 16'!$L$6</f>
        <v/>
      </c>
      <c r="F19" s="5">
        <f>'Field 16'!$L$7</f>
        <v/>
      </c>
      <c r="G19" s="5">
        <f>'Field 16'!$L$8</f>
        <v/>
      </c>
      <c r="H19" s="5">
        <f>'Field 16'!$L$9</f>
        <v/>
      </c>
    </row>
    <row r="20" ht="15.6" customHeight="1">
      <c r="A20" s="3" t="inlineStr">
        <is>
          <t>Property / property_name</t>
        </is>
      </c>
      <c r="B20" s="4">
        <f>'Field 17'!$L$3</f>
        <v/>
      </c>
      <c r="C20" s="4">
        <f>'Field 17'!$L$4</f>
        <v/>
      </c>
      <c r="D20" s="4">
        <f>'Field 17'!$L$5</f>
        <v/>
      </c>
      <c r="E20" s="4">
        <f>'Field 17'!$L$6</f>
        <v/>
      </c>
      <c r="F20" s="5">
        <f>'Field 17'!$L$7</f>
        <v/>
      </c>
      <c r="G20" s="5">
        <f>'Field 17'!$L$8</f>
        <v/>
      </c>
      <c r="H20" s="5">
        <f>'Field 17'!$L$9</f>
        <v/>
      </c>
    </row>
    <row r="21" ht="15.6" customHeight="1">
      <c r="A21" s="3" t="inlineStr">
        <is>
          <t>Terms / Arrangement_End_Date</t>
        </is>
      </c>
      <c r="B21" s="4">
        <f>'Field 18'!$L$3</f>
        <v/>
      </c>
      <c r="C21" s="4">
        <f>'Field 18'!$L$4</f>
        <v/>
      </c>
      <c r="D21" s="4">
        <f>'Field 18'!$L$5</f>
        <v/>
      </c>
      <c r="E21" s="4">
        <f>'Field 18'!$L$6</f>
        <v/>
      </c>
      <c r="F21" s="5">
        <f>'Field 18'!$L$7</f>
        <v/>
      </c>
      <c r="G21" s="5">
        <f>'Field 18'!$L$8</f>
        <v/>
      </c>
      <c r="H21" s="5">
        <f>'Field 18'!$L$9</f>
        <v/>
      </c>
    </row>
    <row r="22" ht="15.6" customHeight="1">
      <c r="A22" s="3" t="inlineStr">
        <is>
          <t>Terms / Arrangement_Signed_Date</t>
        </is>
      </c>
      <c r="B22" s="4">
        <f>'Field 19'!$L$3</f>
        <v/>
      </c>
      <c r="C22" s="4">
        <f>'Field 19'!$L$4</f>
        <v/>
      </c>
      <c r="D22" s="4">
        <f>'Field 19'!$L$5</f>
        <v/>
      </c>
      <c r="E22" s="4">
        <f>'Field 19'!$L$6</f>
        <v/>
      </c>
      <c r="F22" s="5">
        <f>'Field 19'!$L$7</f>
        <v/>
      </c>
      <c r="G22" s="5">
        <f>'Field 19'!$L$8</f>
        <v/>
      </c>
      <c r="H22" s="5">
        <f>'Field 19'!$L$9</f>
        <v/>
      </c>
    </row>
    <row r="23" ht="15.6" customHeight="1">
      <c r="A23" s="3" t="inlineStr">
        <is>
          <t>Terms / Arrangement_Start_Date</t>
        </is>
      </c>
      <c r="B23" s="4">
        <f>'Field 20'!$L$3</f>
        <v/>
      </c>
      <c r="C23" s="4">
        <f>'Field 20'!$L$4</f>
        <v/>
      </c>
      <c r="D23" s="4">
        <f>'Field 20'!$L$5</f>
        <v/>
      </c>
      <c r="E23" s="4">
        <f>'Field 20'!$L$6</f>
        <v/>
      </c>
      <c r="F23" s="5">
        <f>'Field 20'!$L$7</f>
        <v/>
      </c>
      <c r="G23" s="5">
        <f>'Field 20'!$L$8</f>
        <v/>
      </c>
      <c r="H23" s="5">
        <f>'Field 20'!$L$9</f>
        <v/>
      </c>
    </row>
    <row r="24" ht="15.6" customHeight="1">
      <c r="A24" s="3" t="inlineStr">
        <is>
          <t>Terms / Asking_Rent_Monthly</t>
        </is>
      </c>
      <c r="B24" s="4">
        <f>'Field 21'!$L$3</f>
        <v/>
      </c>
      <c r="C24" s="4">
        <f>'Field 21'!$L$4</f>
        <v/>
      </c>
      <c r="D24" s="4">
        <f>'Field 21'!$L$5</f>
        <v/>
      </c>
      <c r="E24" s="4">
        <f>'Field 21'!$L$6</f>
        <v/>
      </c>
      <c r="F24" s="5">
        <f>'Field 21'!$L$7</f>
        <v/>
      </c>
      <c r="G24" s="5">
        <f>'Field 21'!$L$8</f>
        <v/>
      </c>
      <c r="H24" s="5">
        <f>'Field 21'!$L$9</f>
        <v/>
      </c>
    </row>
    <row r="25" ht="15.6" customHeight="1">
      <c r="A25" s="3" t="inlineStr">
        <is>
          <t>Terms / Asking_Rent_Yearly</t>
        </is>
      </c>
      <c r="B25" s="4">
        <f>'Field 22'!$L$3</f>
        <v/>
      </c>
      <c r="C25" s="4">
        <f>'Field 22'!$L$4</f>
        <v/>
      </c>
      <c r="D25" s="4">
        <f>'Field 22'!$L$5</f>
        <v/>
      </c>
      <c r="E25" s="4">
        <f>'Field 22'!$L$6</f>
        <v/>
      </c>
      <c r="F25" s="5">
        <f>'Field 22'!$L$7</f>
        <v/>
      </c>
      <c r="G25" s="5">
        <f>'Field 22'!$L$8</f>
        <v/>
      </c>
      <c r="H25" s="5">
        <f>'Field 22'!$L$9</f>
        <v/>
      </c>
    </row>
    <row r="26" ht="15.6" customHeight="1">
      <c r="A26" s="3" t="inlineStr">
        <is>
          <t>Terms / Cost_per_Reserved_Parking_Space</t>
        </is>
      </c>
      <c r="B26" s="4">
        <f>'Field 23'!$L$3</f>
        <v/>
      </c>
      <c r="C26" s="4">
        <f>'Field 23'!$L$4</f>
        <v/>
      </c>
      <c r="D26" s="4">
        <f>'Field 23'!$L$5</f>
        <v/>
      </c>
      <c r="E26" s="4">
        <f>'Field 23'!$L$6</f>
        <v/>
      </c>
      <c r="F26" s="5">
        <f>'Field 23'!$L$7</f>
        <v/>
      </c>
      <c r="G26" s="5">
        <f>'Field 23'!$L$8</f>
        <v/>
      </c>
      <c r="H26" s="5">
        <f>'Field 23'!$L$9</f>
        <v/>
      </c>
    </row>
    <row r="27" ht="15.6" customHeight="1">
      <c r="A27" s="3" t="inlineStr">
        <is>
          <t>Terms / Effective_Rent_Monthly</t>
        </is>
      </c>
      <c r="B27" s="4">
        <f>'Field 24'!$L$3</f>
        <v/>
      </c>
      <c r="C27" s="4">
        <f>'Field 24'!$L$4</f>
        <v/>
      </c>
      <c r="D27" s="4">
        <f>'Field 24'!$L$5</f>
        <v/>
      </c>
      <c r="E27" s="4">
        <f>'Field 24'!$L$6</f>
        <v/>
      </c>
      <c r="F27" s="5">
        <f>'Field 24'!$L$7</f>
        <v/>
      </c>
      <c r="G27" s="5">
        <f>'Field 24'!$L$8</f>
        <v/>
      </c>
      <c r="H27" s="5">
        <f>'Field 24'!$L$9</f>
        <v/>
      </c>
    </row>
    <row r="28" ht="15.6" customHeight="1">
      <c r="A28" s="3" t="inlineStr">
        <is>
          <t>Terms / Effective_Rent_Yearly</t>
        </is>
      </c>
      <c r="B28" s="4">
        <f>'Field 25'!$L$3</f>
        <v/>
      </c>
      <c r="C28" s="4">
        <f>'Field 25'!$L$4</f>
        <v/>
      </c>
      <c r="D28" s="4">
        <f>'Field 25'!$L$5</f>
        <v/>
      </c>
      <c r="E28" s="4">
        <f>'Field 25'!$L$6</f>
        <v/>
      </c>
      <c r="F28" s="5">
        <f>'Field 25'!$L$7</f>
        <v/>
      </c>
      <c r="G28" s="5">
        <f>'Field 25'!$L$8</f>
        <v/>
      </c>
      <c r="H28" s="5">
        <f>'Field 25'!$L$9</f>
        <v/>
      </c>
    </row>
    <row r="29" ht="15.6" customHeight="1">
      <c r="A29" s="3" t="inlineStr">
        <is>
          <t>Terms / Lease_Term</t>
        </is>
      </c>
      <c r="B29" s="4">
        <f>'Field 26'!$L$3</f>
        <v/>
      </c>
      <c r="C29" s="4">
        <f>'Field 26'!$L$4</f>
        <v/>
      </c>
      <c r="D29" s="4">
        <f>'Field 26'!$L$5</f>
        <v/>
      </c>
      <c r="E29" s="4">
        <f>'Field 26'!$L$6</f>
        <v/>
      </c>
      <c r="F29" s="5">
        <f>'Field 26'!$L$7</f>
        <v/>
      </c>
      <c r="G29" s="5">
        <f>'Field 26'!$L$8</f>
        <v/>
      </c>
      <c r="H29" s="5">
        <f>'Field 26'!$L$9</f>
        <v/>
      </c>
    </row>
    <row r="30" ht="15.6" customHeight="1">
      <c r="A30" s="3" t="inlineStr">
        <is>
          <t>Terms / Number_Of_Month_Free_Rent</t>
        </is>
      </c>
      <c r="B30" s="4">
        <f>'Field 27'!$L$3</f>
        <v/>
      </c>
      <c r="C30" s="4">
        <f>'Field 27'!$L$4</f>
        <v/>
      </c>
      <c r="D30" s="4">
        <f>'Field 27'!$L$5</f>
        <v/>
      </c>
      <c r="E30" s="4">
        <f>'Field 27'!$L$6</f>
        <v/>
      </c>
      <c r="F30" s="5">
        <f>'Field 27'!$L$7</f>
        <v/>
      </c>
      <c r="G30" s="5">
        <f>'Field 27'!$L$8</f>
        <v/>
      </c>
      <c r="H30" s="5">
        <f>'Field 27'!$L$9</f>
        <v/>
      </c>
    </row>
    <row r="31" ht="15.6" customHeight="1">
      <c r="A31" s="3" t="inlineStr">
        <is>
          <t>Terms / Occupancy_Date</t>
        </is>
      </c>
      <c r="B31" s="4">
        <f>'Field 28'!$L$3</f>
        <v/>
      </c>
      <c r="C31" s="4">
        <f>'Field 28'!$L$4</f>
        <v/>
      </c>
      <c r="D31" s="4">
        <f>'Field 28'!$L$5</f>
        <v/>
      </c>
      <c r="E31" s="4">
        <f>'Field 28'!$L$6</f>
        <v/>
      </c>
      <c r="F31" s="5">
        <f>'Field 28'!$L$7</f>
        <v/>
      </c>
      <c r="G31" s="5">
        <f>'Field 28'!$L$8</f>
        <v/>
      </c>
      <c r="H31" s="5">
        <f>'Field 28'!$L$9</f>
        <v/>
      </c>
    </row>
    <row r="32" ht="15.6" customHeight="1">
      <c r="A32" s="3" t="inlineStr">
        <is>
          <t>Terms / Option_Notes</t>
        </is>
      </c>
      <c r="B32" s="4">
        <f>'Field 29'!$L$3</f>
        <v/>
      </c>
      <c r="C32" s="4">
        <f>'Field 29'!$L$4</f>
        <v/>
      </c>
      <c r="D32" s="4">
        <f>'Field 29'!$L$5</f>
        <v/>
      </c>
      <c r="E32" s="4">
        <f>'Field 29'!$L$6</f>
        <v/>
      </c>
      <c r="F32" s="5">
        <f>'Field 29'!$L$7</f>
        <v/>
      </c>
      <c r="G32" s="5">
        <f>'Field 29'!$L$8</f>
        <v/>
      </c>
      <c r="H32" s="5">
        <f>'Field 29'!$L$9</f>
        <v/>
      </c>
    </row>
    <row r="33" ht="15.6" customHeight="1">
      <c r="A33" s="3" t="inlineStr">
        <is>
          <t>Terms / Ref_asking_rent_monthly_uom_desc</t>
        </is>
      </c>
      <c r="B33" s="4">
        <f>'Field 30'!$L$3</f>
        <v/>
      </c>
      <c r="C33" s="4">
        <f>'Field 30'!$L$4</f>
        <v/>
      </c>
      <c r="D33" s="4">
        <f>'Field 30'!$L$5</f>
        <v/>
      </c>
      <c r="E33" s="4">
        <f>'Field 30'!$L$6</f>
        <v/>
      </c>
      <c r="F33" s="5">
        <f>'Field 30'!$L$7</f>
        <v/>
      </c>
      <c r="G33" s="5">
        <f>'Field 30'!$L$8</f>
        <v/>
      </c>
      <c r="H33" s="5">
        <f>'Field 30'!$L$9</f>
        <v/>
      </c>
    </row>
    <row r="34" ht="15.6" customHeight="1">
      <c r="A34" s="3" t="inlineStr">
        <is>
          <t>Terms / Ref_asking_rent_yearly_uom_desc</t>
        </is>
      </c>
      <c r="B34" s="4">
        <f>'Field 31'!$L$3</f>
        <v/>
      </c>
      <c r="C34" s="4">
        <f>'Field 31'!$L$4</f>
        <v/>
      </c>
      <c r="D34" s="4">
        <f>'Field 31'!$L$5</f>
        <v/>
      </c>
      <c r="E34" s="4">
        <f>'Field 31'!$L$6</f>
        <v/>
      </c>
      <c r="F34" s="5">
        <f>'Field 31'!$L$7</f>
        <v/>
      </c>
      <c r="G34" s="5">
        <f>'Field 31'!$L$8</f>
        <v/>
      </c>
      <c r="H34" s="5">
        <f>'Field 31'!$L$9</f>
        <v/>
      </c>
    </row>
    <row r="35" ht="15.6" customHeight="1">
      <c r="A35" s="3" t="inlineStr">
        <is>
          <t>Terms / Ref_cost_per_reserved_parking_space_uom_desc</t>
        </is>
      </c>
      <c r="B35" s="4">
        <f>'Field 32'!$L$3</f>
        <v/>
      </c>
      <c r="C35" s="4">
        <f>'Field 32'!$L$4</f>
        <v/>
      </c>
      <c r="D35" s="4">
        <f>'Field 32'!$L$5</f>
        <v/>
      </c>
      <c r="E35" s="4">
        <f>'Field 32'!$L$6</f>
        <v/>
      </c>
      <c r="F35" s="5">
        <f>'Field 32'!$L$7</f>
        <v/>
      </c>
      <c r="G35" s="5">
        <f>'Field 32'!$L$8</f>
        <v/>
      </c>
      <c r="H35" s="5">
        <f>'Field 32'!$L$9</f>
        <v/>
      </c>
    </row>
    <row r="36" ht="15.6" customHeight="1">
      <c r="A36" s="3" t="inlineStr">
        <is>
          <t>Terms / Ref_effective_rent_monthly_uom_desc</t>
        </is>
      </c>
      <c r="B36" s="4">
        <f>'Field 33'!$L$3</f>
        <v/>
      </c>
      <c r="C36" s="4">
        <f>'Field 33'!$L$4</f>
        <v/>
      </c>
      <c r="D36" s="4">
        <f>'Field 33'!$L$5</f>
        <v/>
      </c>
      <c r="E36" s="4">
        <f>'Field 33'!$L$6</f>
        <v/>
      </c>
      <c r="F36" s="5">
        <f>'Field 33'!$L$7</f>
        <v/>
      </c>
      <c r="G36" s="5">
        <f>'Field 33'!$L$8</f>
        <v/>
      </c>
      <c r="H36" s="5">
        <f>'Field 33'!$L$9</f>
        <v/>
      </c>
    </row>
    <row r="37" ht="15.6" customHeight="1">
      <c r="A37" s="3" t="inlineStr">
        <is>
          <t>Terms / Ref_effective_rent_yearly_uom_desc</t>
        </is>
      </c>
      <c r="B37" s="4">
        <f>'Field 34'!$L$3</f>
        <v/>
      </c>
      <c r="C37" s="4">
        <f>'Field 34'!$L$4</f>
        <v/>
      </c>
      <c r="D37" s="4">
        <f>'Field 34'!$L$5</f>
        <v/>
      </c>
      <c r="E37" s="4">
        <f>'Field 34'!$L$6</f>
        <v/>
      </c>
      <c r="F37" s="5">
        <f>'Field 34'!$L$7</f>
        <v/>
      </c>
      <c r="G37" s="5">
        <f>'Field 34'!$L$8</f>
        <v/>
      </c>
      <c r="H37" s="5">
        <f>'Field 34'!$L$9</f>
        <v/>
      </c>
    </row>
    <row r="38" ht="15.6" customHeight="1">
      <c r="A38" s="3" t="inlineStr">
        <is>
          <t>Terms / Ref_lease_term_uom_desc</t>
        </is>
      </c>
      <c r="B38" s="4">
        <f>'Field 35'!$L$3</f>
        <v/>
      </c>
      <c r="C38" s="4">
        <f>'Field 35'!$L$4</f>
        <v/>
      </c>
      <c r="D38" s="4">
        <f>'Field 35'!$L$5</f>
        <v/>
      </c>
      <c r="E38" s="4">
        <f>'Field 35'!$L$6</f>
        <v/>
      </c>
      <c r="F38" s="5">
        <f>'Field 35'!$L$7</f>
        <v/>
      </c>
      <c r="G38" s="5">
        <f>'Field 35'!$L$8</f>
        <v/>
      </c>
      <c r="H38" s="5">
        <f>'Field 35'!$L$9</f>
        <v/>
      </c>
    </row>
    <row r="39" ht="15.6" customHeight="1">
      <c r="A39" s="3" t="inlineStr">
        <is>
          <t>Terms / Ref_service_charge_per_area_value_price_uom_desc</t>
        </is>
      </c>
      <c r="B39" s="4">
        <f>'Field 36'!$L$3</f>
        <v/>
      </c>
      <c r="C39" s="4">
        <f>'Field 36'!$L$4</f>
        <v/>
      </c>
      <c r="D39" s="4">
        <f>'Field 36'!$L$5</f>
        <v/>
      </c>
      <c r="E39" s="4">
        <f>'Field 36'!$L$6</f>
        <v/>
      </c>
      <c r="F39" s="5">
        <f>'Field 36'!$L$7</f>
        <v/>
      </c>
      <c r="G39" s="5">
        <f>'Field 36'!$L$8</f>
        <v/>
      </c>
      <c r="H39" s="5">
        <f>'Field 36'!$L$9</f>
        <v/>
      </c>
    </row>
    <row r="40" ht="15.6" customHeight="1">
      <c r="A40" s="3" t="inlineStr">
        <is>
          <t>Terms / Ref_tenant_improvement_allowance_uom_desc</t>
        </is>
      </c>
      <c r="B40" s="4">
        <f>'Field 37'!$L$3</f>
        <v/>
      </c>
      <c r="C40" s="4">
        <f>'Field 37'!$L$4</f>
        <v/>
      </c>
      <c r="D40" s="4">
        <f>'Field 37'!$L$5</f>
        <v/>
      </c>
      <c r="E40" s="4">
        <f>'Field 37'!$L$6</f>
        <v/>
      </c>
      <c r="F40" s="5">
        <f>'Field 37'!$L$7</f>
        <v/>
      </c>
      <c r="G40" s="5">
        <f>'Field 37'!$L$8</f>
        <v/>
      </c>
      <c r="H40" s="5">
        <f>'Field 37'!$L$9</f>
        <v/>
      </c>
    </row>
    <row r="41" ht="15.6" customHeight="1">
      <c r="A41" s="3" t="inlineStr">
        <is>
          <t>Terms / Reserved_Parking_Spaces</t>
        </is>
      </c>
      <c r="B41" s="4">
        <f>'Field 38'!$L$3</f>
        <v/>
      </c>
      <c r="C41" s="4">
        <f>'Field 38'!$L$4</f>
        <v/>
      </c>
      <c r="D41" s="4">
        <f>'Field 38'!$L$5</f>
        <v/>
      </c>
      <c r="E41" s="4">
        <f>'Field 38'!$L$6</f>
        <v/>
      </c>
      <c r="F41" s="5">
        <f>'Field 38'!$L$7</f>
        <v/>
      </c>
      <c r="G41" s="5">
        <f>'Field 38'!$L$8</f>
        <v/>
      </c>
      <c r="H41" s="5">
        <f>'Field 38'!$L$9</f>
        <v/>
      </c>
    </row>
    <row r="42" ht="15.6" customHeight="1">
      <c r="A42" s="3" t="inlineStr">
        <is>
          <t>Terms / Service_Charge_Per_Area_Value</t>
        </is>
      </c>
      <c r="B42" s="4">
        <f>'Field 39'!$L$3</f>
        <v/>
      </c>
      <c r="C42" s="4">
        <f>'Field 39'!$L$4</f>
        <v/>
      </c>
      <c r="D42" s="4">
        <f>'Field 39'!$L$5</f>
        <v/>
      </c>
      <c r="E42" s="4">
        <f>'Field 39'!$L$6</f>
        <v/>
      </c>
      <c r="F42" s="5">
        <f>'Field 39'!$L$7</f>
        <v/>
      </c>
      <c r="G42" s="5">
        <f>'Field 39'!$L$8</f>
        <v/>
      </c>
      <c r="H42" s="5">
        <f>'Field 39'!$L$9</f>
        <v/>
      </c>
    </row>
    <row r="43" ht="15.6" customHeight="1">
      <c r="A43" s="3" t="inlineStr">
        <is>
          <t>Terms / Tenant_Improvement_Allowance</t>
        </is>
      </c>
      <c r="B43" s="4">
        <f>'Field 40'!$L$3</f>
        <v/>
      </c>
      <c r="C43" s="4">
        <f>'Field 40'!$L$4</f>
        <v/>
      </c>
      <c r="D43" s="4">
        <f>'Field 40'!$L$5</f>
        <v/>
      </c>
      <c r="E43" s="4">
        <f>'Field 40'!$L$6</f>
        <v/>
      </c>
      <c r="F43" s="5">
        <f>'Field 40'!$L$7</f>
        <v/>
      </c>
      <c r="G43" s="5">
        <f>'Field 40'!$L$8</f>
        <v/>
      </c>
      <c r="H43" s="5">
        <f>'Field 40'!$L$9</f>
        <v/>
      </c>
    </row>
    <row r="44" ht="15.6" customHeight="1">
      <c r="A44" s="3" t="inlineStr">
        <is>
          <t>floor_suite / arrangement_space_area</t>
        </is>
      </c>
      <c r="B44" s="4">
        <f>'Field 41'!$L$3</f>
        <v/>
      </c>
      <c r="C44" s="4">
        <f>'Field 41'!$L$4</f>
        <v/>
      </c>
      <c r="D44" s="4">
        <f>'Field 41'!$L$5</f>
        <v/>
      </c>
      <c r="E44" s="4">
        <f>'Field 41'!$L$6</f>
        <v/>
      </c>
      <c r="F44" s="5">
        <f>'Field 41'!$L$7</f>
        <v/>
      </c>
      <c r="G44" s="5">
        <f>'Field 41'!$L$8</f>
        <v/>
      </c>
      <c r="H44" s="5">
        <f>'Field 41'!$L$9</f>
        <v/>
      </c>
    </row>
    <row r="45" ht="15.6" customHeight="1">
      <c r="A45" s="3" t="inlineStr">
        <is>
          <t>floor_suite / floor_number</t>
        </is>
      </c>
      <c r="B45" s="4">
        <f>'Field 42'!$L$3</f>
        <v/>
      </c>
      <c r="C45" s="4">
        <f>'Field 42'!$L$4</f>
        <v/>
      </c>
      <c r="D45" s="4">
        <f>'Field 42'!$L$5</f>
        <v/>
      </c>
      <c r="E45" s="4">
        <f>'Field 42'!$L$6</f>
        <v/>
      </c>
      <c r="F45" s="5">
        <f>'Field 42'!$L$7</f>
        <v/>
      </c>
      <c r="G45" s="5">
        <f>'Field 42'!$L$8</f>
        <v/>
      </c>
      <c r="H45" s="5">
        <f>'Field 42'!$L$9</f>
        <v/>
      </c>
    </row>
    <row r="46" ht="15.6" customHeight="1">
      <c r="A46" s="3" t="inlineStr">
        <is>
          <t>floor_suite / full_floor_f</t>
        </is>
      </c>
      <c r="B46" s="4">
        <f>'Field 43'!$L$3</f>
        <v/>
      </c>
      <c r="C46" s="4">
        <f>'Field 43'!$L$4</f>
        <v/>
      </c>
      <c r="D46" s="4">
        <f>'Field 43'!$L$5</f>
        <v/>
      </c>
      <c r="E46" s="4">
        <f>'Field 43'!$L$6</f>
        <v/>
      </c>
      <c r="F46" s="5">
        <f>'Field 43'!$L$7</f>
        <v/>
      </c>
      <c r="G46" s="5">
        <f>'Field 43'!$L$8</f>
        <v/>
      </c>
      <c r="H46" s="5">
        <f>'Field 43'!$L$9</f>
        <v/>
      </c>
    </row>
    <row r="47" ht="15.6" customHeight="1">
      <c r="A47" s="3" t="inlineStr">
        <is>
          <t>floor_suite / ref_arrangement_space_area_uom_desc</t>
        </is>
      </c>
      <c r="B47" s="4">
        <f>'Field 44'!$L$3</f>
        <v/>
      </c>
      <c r="C47" s="4">
        <f>'Field 44'!$L$4</f>
        <v/>
      </c>
      <c r="D47" s="4">
        <f>'Field 44'!$L$5</f>
        <v/>
      </c>
      <c r="E47" s="4">
        <f>'Field 44'!$L$6</f>
        <v/>
      </c>
      <c r="F47" s="5">
        <f>'Field 44'!$L$7</f>
        <v/>
      </c>
      <c r="G47" s="5">
        <f>'Field 44'!$L$8</f>
        <v/>
      </c>
      <c r="H47" s="5">
        <f>'Field 44'!$L$9</f>
        <v/>
      </c>
    </row>
    <row r="48" ht="15.6" customHeight="1">
      <c r="A48" s="3" t="inlineStr">
        <is>
          <t>floor_suite / suite_number</t>
        </is>
      </c>
      <c r="B48" s="4">
        <f>'Field 45'!$L$3</f>
        <v/>
      </c>
      <c r="C48" s="4">
        <f>'Field 45'!$L$4</f>
        <v/>
      </c>
      <c r="D48" s="4">
        <f>'Field 45'!$L$5</f>
        <v/>
      </c>
      <c r="E48" s="4">
        <f>'Field 45'!$L$6</f>
        <v/>
      </c>
      <c r="F48" s="5">
        <f>'Field 45'!$L$7</f>
        <v/>
      </c>
      <c r="G48" s="5">
        <f>'Field 45'!$L$8</f>
        <v/>
      </c>
      <c r="H48" s="5">
        <f>'Field 45'!$L$9</f>
        <v/>
      </c>
    </row>
    <row r="49" ht="15.6" customHeight="1">
      <c r="A49" s="3" t="inlineStr">
        <is>
          <t>floor_suite / tenancy_status_desc</t>
        </is>
      </c>
      <c r="B49" s="4">
        <f>'Field 46'!$L$3</f>
        <v/>
      </c>
      <c r="C49" s="4">
        <f>'Field 46'!$L$4</f>
        <v/>
      </c>
      <c r="D49" s="4">
        <f>'Field 46'!$L$5</f>
        <v/>
      </c>
      <c r="E49" s="4">
        <f>'Field 46'!$L$6</f>
        <v/>
      </c>
      <c r="F49" s="5">
        <f>'Field 46'!$L$7</f>
        <v/>
      </c>
      <c r="G49" s="5">
        <f>'Field 46'!$L$8</f>
        <v/>
      </c>
      <c r="H49" s="5">
        <f>'Field 46'!$L$9</f>
        <v/>
      </c>
    </row>
    <row r="50" ht="15.6" customHeight="1">
      <c r="A50" s="3" t="inlineStr">
        <is>
          <t>floor_suite / tenancy_status_reason_desc</t>
        </is>
      </c>
      <c r="B50" s="4">
        <f>'Field 47'!$L$3</f>
        <v/>
      </c>
      <c r="C50" s="4">
        <f>'Field 47'!$L$4</f>
        <v/>
      </c>
      <c r="D50" s="4">
        <f>'Field 47'!$L$5</f>
        <v/>
      </c>
      <c r="E50" s="4">
        <f>'Field 47'!$L$6</f>
        <v/>
      </c>
      <c r="F50" s="5">
        <f>'Field 47'!$L$7</f>
        <v/>
      </c>
      <c r="G50" s="5">
        <f>'Field 47'!$L$8</f>
        <v/>
      </c>
      <c r="H50" s="5">
        <f>'Field 47'!$L$9</f>
        <v/>
      </c>
    </row>
    <row r="51" ht="15.6" customHeight="1">
      <c r="A51" s="3" t="inlineStr">
        <is>
          <t>floor_suite / tenancy_status_reason_notes</t>
        </is>
      </c>
      <c r="B51" s="4">
        <f>'Field 48'!$L$3</f>
        <v/>
      </c>
      <c r="C51" s="4">
        <f>'Field 48'!$L$4</f>
        <v/>
      </c>
      <c r="D51" s="4">
        <f>'Field 48'!$L$5</f>
        <v/>
      </c>
      <c r="E51" s="4">
        <f>'Field 48'!$L$6</f>
        <v/>
      </c>
      <c r="F51" s="5">
        <f>'Field 48'!$L$7</f>
        <v/>
      </c>
      <c r="G51" s="5">
        <f>'Field 48'!$L$8</f>
        <v/>
      </c>
      <c r="H51" s="5">
        <f>'Field 48'!$L$9</f>
        <v/>
      </c>
    </row>
    <row r="52" ht="15.6" customHeight="1">
      <c r="A52" s="3" t="inlineStr">
        <is>
          <t>lease_break / arrangement_option_executor_type_desc</t>
        </is>
      </c>
      <c r="B52" s="4">
        <f>'Field 49'!$L$3</f>
        <v/>
      </c>
      <c r="C52" s="4">
        <f>'Field 49'!$L$4</f>
        <v/>
      </c>
      <c r="D52" s="4">
        <f>'Field 49'!$L$5</f>
        <v/>
      </c>
      <c r="E52" s="4">
        <f>'Field 49'!$L$6</f>
        <v/>
      </c>
      <c r="F52" s="5">
        <f>'Field 49'!$L$7</f>
        <v/>
      </c>
      <c r="G52" s="5">
        <f>'Field 49'!$L$8</f>
        <v/>
      </c>
      <c r="H52" s="5">
        <f>'Field 49'!$L$9</f>
        <v/>
      </c>
    </row>
    <row r="53" ht="15.6" customHeight="1">
      <c r="A53" s="3" t="inlineStr">
        <is>
          <t>lease_break / arrangement_option_start_date</t>
        </is>
      </c>
      <c r="B53" s="4">
        <f>'Field 50'!$L$3</f>
        <v/>
      </c>
      <c r="C53" s="4">
        <f>'Field 50'!$L$4</f>
        <v/>
      </c>
      <c r="D53" s="4">
        <f>'Field 50'!$L$5</f>
        <v/>
      </c>
      <c r="E53" s="4">
        <f>'Field 50'!$L$6</f>
        <v/>
      </c>
      <c r="F53" s="5">
        <f>'Field 50'!$L$7</f>
        <v/>
      </c>
      <c r="G53" s="5">
        <f>'Field 50'!$L$8</f>
        <v/>
      </c>
      <c r="H53" s="5">
        <f>'Field 50'!$L$9</f>
        <v/>
      </c>
    </row>
    <row r="54" ht="15.6" customHeight="1">
      <c r="A54" s="3" t="inlineStr">
        <is>
          <t>measurements / asking_rent_yearly</t>
        </is>
      </c>
      <c r="B54" s="4">
        <f>'Field 51'!$L$3</f>
        <v/>
      </c>
      <c r="C54" s="4">
        <f>'Field 51'!$L$4</f>
        <v/>
      </c>
      <c r="D54" s="4">
        <f>'Field 51'!$L$5</f>
        <v/>
      </c>
      <c r="E54" s="4">
        <f>'Field 51'!$L$6</f>
        <v/>
      </c>
      <c r="F54" s="5">
        <f>'Field 51'!$L$7</f>
        <v/>
      </c>
      <c r="G54" s="5">
        <f>'Field 51'!$L$8</f>
        <v/>
      </c>
      <c r="H54" s="5">
        <f>'Field 51'!$L$9</f>
        <v/>
      </c>
    </row>
    <row r="55" ht="15.6" customHeight="1">
      <c r="A55" s="3" t="inlineStr">
        <is>
          <t>measurements / asking_rent_yearly_uom</t>
        </is>
      </c>
      <c r="B55" s="4">
        <f>'Field 52'!$L$3</f>
        <v/>
      </c>
      <c r="C55" s="4">
        <f>'Field 52'!$L$4</f>
        <v/>
      </c>
      <c r="D55" s="4">
        <f>'Field 52'!$L$5</f>
        <v/>
      </c>
      <c r="E55" s="4">
        <f>'Field 52'!$L$6</f>
        <v/>
      </c>
      <c r="F55" s="5">
        <f>'Field 52'!$L$7</f>
        <v/>
      </c>
      <c r="G55" s="5">
        <f>'Field 52'!$L$8</f>
        <v/>
      </c>
      <c r="H55" s="5">
        <f>'Field 52'!$L$9</f>
        <v/>
      </c>
    </row>
    <row r="56" ht="15.6" customHeight="1">
      <c r="A56" s="3" t="inlineStr">
        <is>
          <t>measurements / property_element_type_desc</t>
        </is>
      </c>
      <c r="B56" s="4">
        <f>'Field 53'!$L$3</f>
        <v/>
      </c>
      <c r="C56" s="4">
        <f>'Field 53'!$L$4</f>
        <v/>
      </c>
      <c r="D56" s="4">
        <f>'Field 53'!$L$5</f>
        <v/>
      </c>
      <c r="E56" s="4">
        <f>'Field 53'!$L$6</f>
        <v/>
      </c>
      <c r="F56" s="5">
        <f>'Field 53'!$L$7</f>
        <v/>
      </c>
      <c r="G56" s="5">
        <f>'Field 53'!$L$8</f>
        <v/>
      </c>
      <c r="H56" s="5">
        <f>'Field 53'!$L$9</f>
        <v/>
      </c>
    </row>
    <row r="57" ht="15.6" customHeight="1">
      <c r="A57" s="3" t="inlineStr">
        <is>
          <t>measurements / property_measurement_notes</t>
        </is>
      </c>
      <c r="B57" s="4">
        <f>'Field 54'!$L$3</f>
        <v/>
      </c>
      <c r="C57" s="4">
        <f>'Field 54'!$L$4</f>
        <v/>
      </c>
      <c r="D57" s="4">
        <f>'Field 54'!$L$5</f>
        <v/>
      </c>
      <c r="E57" s="4">
        <f>'Field 54'!$L$6</f>
        <v/>
      </c>
      <c r="F57" s="5">
        <f>'Field 54'!$L$7</f>
        <v/>
      </c>
      <c r="G57" s="5">
        <f>'Field 54'!$L$8</f>
        <v/>
      </c>
      <c r="H57" s="5">
        <f>'Field 54'!$L$9</f>
        <v/>
      </c>
    </row>
    <row r="58" ht="15.6" customHeight="1">
      <c r="A58" s="3" t="inlineStr">
        <is>
          <t>measurements / property_measurement_size</t>
        </is>
      </c>
      <c r="B58" s="4">
        <f>'Field 55'!$L$3</f>
        <v/>
      </c>
      <c r="C58" s="4">
        <f>'Field 55'!$L$4</f>
        <v/>
      </c>
      <c r="D58" s="4">
        <f>'Field 55'!$L$5</f>
        <v/>
      </c>
      <c r="E58" s="4">
        <f>'Field 55'!$L$6</f>
        <v/>
      </c>
      <c r="F58" s="5">
        <f>'Field 55'!$L$7</f>
        <v/>
      </c>
      <c r="G58" s="5">
        <f>'Field 55'!$L$8</f>
        <v/>
      </c>
      <c r="H58" s="5">
        <f>'Field 55'!$L$9</f>
        <v/>
      </c>
    </row>
    <row r="59" ht="15.6" customHeight="1">
      <c r="A59" s="3" t="inlineStr">
        <is>
          <t>measurements / property_measurement_size_uom</t>
        </is>
      </c>
      <c r="B59" s="4">
        <f>'Field 56'!$L$3</f>
        <v/>
      </c>
      <c r="C59" s="4">
        <f>'Field 56'!$L$4</f>
        <v/>
      </c>
      <c r="D59" s="4">
        <f>'Field 56'!$L$5</f>
        <v/>
      </c>
      <c r="E59" s="4">
        <f>'Field 56'!$L$6</f>
        <v/>
      </c>
      <c r="F59" s="5">
        <f>'Field 56'!$L$7</f>
        <v/>
      </c>
      <c r="G59" s="5">
        <f>'Field 56'!$L$8</f>
        <v/>
      </c>
      <c r="H59" s="5">
        <f>'Field 56'!$L$9</f>
        <v/>
      </c>
    </row>
    <row r="60" ht="15.6" customHeight="1">
      <c r="A60" s="3" t="inlineStr">
        <is>
          <t>parking / number_parking_space</t>
        </is>
      </c>
      <c r="B60" s="4">
        <f>'Field 57'!$L$3</f>
        <v/>
      </c>
      <c r="C60" s="4">
        <f>'Field 57'!$L$4</f>
        <v/>
      </c>
      <c r="D60" s="4">
        <f>'Field 57'!$L$5</f>
        <v/>
      </c>
      <c r="E60" s="4">
        <f>'Field 57'!$L$6</f>
        <v/>
      </c>
      <c r="F60" s="5">
        <f>'Field 57'!$L$7</f>
        <v/>
      </c>
      <c r="G60" s="5">
        <f>'Field 57'!$L$8</f>
        <v/>
      </c>
      <c r="H60" s="5">
        <f>'Field 57'!$L$9</f>
        <v/>
      </c>
    </row>
    <row r="61" ht="15.6" customHeight="1">
      <c r="A61" s="3" t="inlineStr">
        <is>
          <t>parking / parking_comments</t>
        </is>
      </c>
      <c r="B61" s="4">
        <f>'Field 58'!$L$3</f>
        <v/>
      </c>
      <c r="C61" s="4">
        <f>'Field 58'!$L$4</f>
        <v/>
      </c>
      <c r="D61" s="4">
        <f>'Field 58'!$L$5</f>
        <v/>
      </c>
      <c r="E61" s="4">
        <f>'Field 58'!$L$6</f>
        <v/>
      </c>
      <c r="F61" s="5">
        <f>'Field 58'!$L$7</f>
        <v/>
      </c>
      <c r="G61" s="5">
        <f>'Field 58'!$L$8</f>
        <v/>
      </c>
      <c r="H61" s="5">
        <f>'Field 58'!$L$9</f>
        <v/>
      </c>
    </row>
    <row r="62" ht="15.6" customHeight="1">
      <c r="A62" s="3" t="inlineStr">
        <is>
          <t>parking / parking_cost_monthly</t>
        </is>
      </c>
      <c r="B62" s="4">
        <f>'Field 59'!$L$3</f>
        <v/>
      </c>
      <c r="C62" s="4">
        <f>'Field 59'!$L$4</f>
        <v/>
      </c>
      <c r="D62" s="4">
        <f>'Field 59'!$L$5</f>
        <v/>
      </c>
      <c r="E62" s="4">
        <f>'Field 59'!$L$6</f>
        <v/>
      </c>
      <c r="F62" s="5">
        <f>'Field 59'!$L$7</f>
        <v/>
      </c>
      <c r="G62" s="5">
        <f>'Field 59'!$L$8</f>
        <v/>
      </c>
      <c r="H62" s="5">
        <f>'Field 59'!$L$9</f>
        <v/>
      </c>
    </row>
    <row r="63" ht="15.6" customHeight="1">
      <c r="A63" s="3" t="inlineStr">
        <is>
          <t>parking / parking_cost_monthly_uom</t>
        </is>
      </c>
      <c r="B63" s="4">
        <f>'Field 60'!$L$3</f>
        <v/>
      </c>
      <c r="C63" s="4">
        <f>'Field 60'!$L$4</f>
        <v/>
      </c>
      <c r="D63" s="4">
        <f>'Field 60'!$L$5</f>
        <v/>
      </c>
      <c r="E63" s="4">
        <f>'Field 60'!$L$6</f>
        <v/>
      </c>
      <c r="F63" s="5">
        <f>'Field 60'!$L$7</f>
        <v/>
      </c>
      <c r="G63" s="5">
        <f>'Field 60'!$L$8</f>
        <v/>
      </c>
      <c r="H63" s="5">
        <f>'Field 60'!$L$9</f>
        <v/>
      </c>
    </row>
    <row r="64" ht="15.6" customHeight="1">
      <c r="A64" s="3" t="inlineStr">
        <is>
          <t>parking / parking_cost_yearly</t>
        </is>
      </c>
      <c r="B64" s="4">
        <f>'Field 61'!$L$3</f>
        <v/>
      </c>
      <c r="C64" s="4">
        <f>'Field 61'!$L$4</f>
        <v/>
      </c>
      <c r="D64" s="4">
        <f>'Field 61'!$L$5</f>
        <v/>
      </c>
      <c r="E64" s="4">
        <f>'Field 61'!$L$6</f>
        <v/>
      </c>
      <c r="F64" s="5">
        <f>'Field 61'!$L$7</f>
        <v/>
      </c>
      <c r="G64" s="5">
        <f>'Field 61'!$L$8</f>
        <v/>
      </c>
      <c r="H64" s="5">
        <f>'Field 61'!$L$9</f>
        <v/>
      </c>
    </row>
    <row r="65" ht="15.6" customHeight="1">
      <c r="A65" s="3" t="inlineStr">
        <is>
          <t>parking / parking_cost_yearly_uom</t>
        </is>
      </c>
      <c r="B65" s="4">
        <f>'Field 62'!$L$3</f>
        <v/>
      </c>
      <c r="C65" s="4">
        <f>'Field 62'!$L$4</f>
        <v/>
      </c>
      <c r="D65" s="4">
        <f>'Field 62'!$L$5</f>
        <v/>
      </c>
      <c r="E65" s="4">
        <f>'Field 62'!$L$6</f>
        <v/>
      </c>
      <c r="F65" s="5">
        <f>'Field 62'!$L$7</f>
        <v/>
      </c>
      <c r="G65" s="5">
        <f>'Field 62'!$L$8</f>
        <v/>
      </c>
      <c r="H65" s="5">
        <f>'Field 62'!$L$9</f>
        <v/>
      </c>
    </row>
    <row r="66" ht="15.6" customHeight="1">
      <c r="A66" s="3" t="inlineStr">
        <is>
          <t>parking / parking_sub_type_desc</t>
        </is>
      </c>
      <c r="B66" s="4">
        <f>'Field 63'!$L$3</f>
        <v/>
      </c>
      <c r="C66" s="4">
        <f>'Field 63'!$L$4</f>
        <v/>
      </c>
      <c r="D66" s="4">
        <f>'Field 63'!$L$5</f>
        <v/>
      </c>
      <c r="E66" s="4">
        <f>'Field 63'!$L$6</f>
        <v/>
      </c>
      <c r="F66" s="5">
        <f>'Field 63'!$L$7</f>
        <v/>
      </c>
      <c r="G66" s="5">
        <f>'Field 63'!$L$8</f>
        <v/>
      </c>
      <c r="H66" s="5">
        <f>'Field 63'!$L$9</f>
        <v/>
      </c>
    </row>
    <row r="67" ht="15.6" customHeight="1">
      <c r="A67" s="3" t="inlineStr">
        <is>
          <t>parking / parking_type_desc</t>
        </is>
      </c>
      <c r="B67" s="4">
        <f>'Field 64'!$L$3</f>
        <v/>
      </c>
      <c r="C67" s="4">
        <f>'Field 64'!$L$4</f>
        <v/>
      </c>
      <c r="D67" s="4">
        <f>'Field 64'!$L$5</f>
        <v/>
      </c>
      <c r="E67" s="4">
        <f>'Field 64'!$L$6</f>
        <v/>
      </c>
      <c r="F67" s="5">
        <f>'Field 64'!$L$7</f>
        <v/>
      </c>
      <c r="G67" s="5">
        <f>'Field 64'!$L$8</f>
        <v/>
      </c>
      <c r="H67" s="5">
        <f>'Field 64'!$L$9</f>
        <v/>
      </c>
    </row>
  </sheetData>
  <hyperlinks>
    <hyperlink ref="A4" location="'Field 1'!A1" display="Companies / company_name"/>
    <hyperlink ref="A5" location="'Field 2'!A1" display="Companies / role_desc"/>
    <hyperlink ref="A6" location="'Field 3'!A1" display="Lease_Comp_Details / act_1954_f"/>
    <hyperlink ref="A7" location="'Field 4'!A1" display="Lease_Comp_Details / arrangement_end_action_status_reason_type_desc"/>
    <hyperlink ref="A8" location="'Field 5'!A1" display="Lease_Comp_Details / arrangement_end_action_status_type_desc"/>
    <hyperlink ref="A9" location="'Field 6'!A1" display="Lease_Comp_Details / arrangement_end_future_action_date"/>
    <hyperlink ref="A10" location="'Field 7'!A1" display="Lease_Comp_Details / arrangement_end_future_action_type_desc"/>
    <hyperlink ref="A11" location="'Field 8'!A1" display="Lease_Comp_Details / lease_arrangement_reason_type_desc"/>
    <hyperlink ref="A12" location="'Field 9'!A1" display="Lease_Comp_Details / ref_lease_activity_type_desc"/>
    <hyperlink ref="A13" location="'Field 10'!A1" display="Lease_Comp_Details / ref_lease_arrangement_type_desc"/>
    <hyperlink ref="A14" location="'Field 11'!A1" display="Lease_Comp_Details / ref_total_leased_space_uom_desc"/>
    <hyperlink ref="A15" location="'Field 12'!A1" display="Lease_Comp_Details / space_condition_type_desc"/>
    <hyperlink ref="A16" location="'Field 13'!A1" display="Lease_Comp_Details / sublease_f"/>
    <hyperlink ref="A17" location="'Field 14'!A1" display="Lease_Comp_Details / tenant_status_type_desc"/>
    <hyperlink ref="A18" location="'Field 15'!A1" display="Lease_Comp_Details / total_leased_space"/>
    <hyperlink ref="A19" location="'Field 16'!A1" display="Lease_Comp_Details / total_leased_space_estimated_f"/>
    <hyperlink ref="A20" location="'Field 17'!A1" display="Property / property_name"/>
    <hyperlink ref="A21" location="'Field 18'!A1" display="Terms / Arrangement_End_Date"/>
    <hyperlink ref="A22" location="'Field 19'!A1" display="Terms / Arrangement_Signed_Date"/>
    <hyperlink ref="A23" location="'Field 20'!A1" display="Terms / Arrangement_Start_Date"/>
    <hyperlink ref="A24" location="'Field 21'!A1" display="Terms / Asking_Rent_Monthly"/>
    <hyperlink ref="A25" location="'Field 22'!A1" display="Terms / Asking_Rent_Yearly"/>
    <hyperlink ref="A26" location="'Field 23'!A1" display="Terms / Cost_per_Reserved_Parking_Space"/>
    <hyperlink ref="A27" location="'Field 24'!A1" display="Terms / Effective_Rent_Monthly"/>
    <hyperlink ref="A28" location="'Field 25'!A1" display="Terms / Effective_Rent_Yearly"/>
    <hyperlink ref="A29" location="'Field 26'!A1" display="Terms / Lease_Term"/>
    <hyperlink ref="A30" location="'Field 27'!A1" display="Terms / Number_Of_Month_Free_Rent"/>
    <hyperlink ref="A31" location="'Field 28'!A1" display="Terms / Occupancy_Date"/>
    <hyperlink ref="A32" location="'Field 29'!A1" display="Terms / Option_Notes"/>
    <hyperlink ref="A33" location="'Field 30'!A1" display="Terms / Ref_asking_rent_monthly_uom_desc"/>
    <hyperlink ref="A34" location="'Field 31'!A1" display="Terms / Ref_asking_rent_yearly_uom_desc"/>
    <hyperlink ref="A35" location="'Field 32'!A1" display="Terms / Ref_cost_per_reserved_parking_space_uom_desc"/>
    <hyperlink ref="A36" location="'Field 33'!A1" display="Terms / Ref_effective_rent_monthly_uom_desc"/>
    <hyperlink ref="A37" location="'Field 34'!A1" display="Terms / Ref_effective_rent_yearly_uom_desc"/>
    <hyperlink ref="A38" location="'Field 35'!A1" display="Terms / Ref_lease_term_uom_desc"/>
    <hyperlink ref="A39" location="'Field 36'!A1" display="Terms / Ref_service_charge_per_area_value_price_uom_desc"/>
    <hyperlink ref="A40" location="'Field 37'!A1" display="Terms / Ref_tenant_improvement_allowance_uom_desc"/>
    <hyperlink ref="A41" location="'Field 38'!A1" display="Terms / Reserved_Parking_Spaces"/>
    <hyperlink ref="A42" location="'Field 39'!A1" display="Terms / Service_Charge_Per_Area_Value"/>
    <hyperlink ref="A43" location="'Field 40'!A1" display="Terms / Tenant_Improvement_Allowance"/>
    <hyperlink ref="A44" location="'Field 41'!A1" display="floor_suite / arrangement_space_area"/>
    <hyperlink ref="A45" location="'Field 42'!A1" display="floor_suite / floor_number"/>
    <hyperlink ref="A46" location="'Field 43'!A1" display="floor_suite / full_floor_f"/>
    <hyperlink ref="A47" location="'Field 44'!A1" display="floor_suite / ref_arrangement_space_area_uom_desc"/>
    <hyperlink ref="A48" location="'Field 45'!A1" display="floor_suite / suite_number"/>
    <hyperlink ref="A49" location="'Field 46'!A1" display="floor_suite / tenancy_status_desc"/>
    <hyperlink ref="A50" location="'Field 47'!A1" display="floor_suite / tenancy_status_reason_desc"/>
    <hyperlink ref="A51" location="'Field 48'!A1" display="floor_suite / tenancy_status_reason_notes"/>
    <hyperlink ref="A52" location="'Field 49'!A1" display="lease_break / arrangement_option_executor_type_desc"/>
    <hyperlink ref="A53" location="'Field 50'!A1" display="lease_break / arrangement_option_start_date"/>
    <hyperlink ref="A54" location="'Field 51'!A1" display="measurements / asking_rent_yearly"/>
    <hyperlink ref="A55" location="'Field 52'!A1" display="measurements / asking_rent_yearly_uom"/>
    <hyperlink ref="A56" location="'Field 53'!A1" display="measurements / property_element_type_desc"/>
    <hyperlink ref="A57" location="'Field 54'!A1" display="measurements / property_measurement_notes"/>
    <hyperlink ref="A58" location="'Field 55'!A1" display="measurements / property_measurement_size"/>
    <hyperlink ref="A59" location="'Field 56'!A1" display="measurements / property_measurement_size_uom"/>
    <hyperlink ref="A60" location="'Field 57'!A1" display="parking / number_parking_space"/>
    <hyperlink ref="A61" location="'Field 58'!A1" display="parking / parking_comments"/>
    <hyperlink ref="A62" location="'Field 59'!A1" display="parking / parking_cost_monthly"/>
    <hyperlink ref="A63" location="'Field 60'!A1" display="parking / parking_cost_monthly_uom"/>
    <hyperlink ref="A64" location="'Field 61'!A1" display="parking / parking_cost_yearly"/>
    <hyperlink ref="A65" location="'Field 62'!A1" display="parking / parking_cost_yearly_uom"/>
    <hyperlink ref="A66" location="'Field 63'!A1" display="parking / parking_sub_type_desc"/>
    <hyperlink ref="A67" location="'Field 64'!A1" display="parking / parking_type_desc"/>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7"/>
  <sheetViews>
    <sheetView workbookViewId="0">
      <pane ySplit="3" topLeftCell="A4" activePane="bottomLeft" state="frozen"/>
      <selection pane="bottomLeft" activeCell="A1" sqref="A1"/>
    </sheetView>
  </sheetViews>
  <sheetFormatPr baseColWidth="8" defaultRowHeight="14.4"/>
  <cols>
    <col width="50" customWidth="1" min="1" max="1"/>
    <col width="12" customWidth="1" min="2" max="4"/>
    <col width="16" customWidth="1" min="5" max="6"/>
    <col width="22" customWidth="1" min="7" max="7"/>
    <col width="24" customWidth="1" min="8" max="8"/>
  </cols>
  <sheetData>
    <row r="1" ht="18" customHeight="1">
      <c r="A1" s="1" t="inlineStr">
        <is>
          <t>Field-wise Page Number Summary</t>
        </is>
      </c>
    </row>
    <row r="3">
      <c r="A3" s="2" t="inlineStr">
        <is>
          <t>Field</t>
        </is>
      </c>
      <c r="B3" s="2" t="inlineStr">
        <is>
          <t>Precision</t>
        </is>
      </c>
      <c r="C3" s="2" t="inlineStr">
        <is>
          <t>Recall</t>
        </is>
      </c>
      <c r="D3" s="2" t="inlineStr">
        <is>
          <t>F1 Score</t>
        </is>
      </c>
      <c r="E3" s="2" t="inlineStr">
        <is>
          <t>Accuracy % (With Not Exist)</t>
        </is>
      </c>
      <c r="F3" s="2" t="inlineStr">
        <is>
          <t>Total Docs Tested</t>
        </is>
      </c>
      <c r="G3" s="2" t="inlineStr">
        <is>
          <t>No Of Docs With Manual Pg</t>
        </is>
      </c>
      <c r="H3" s="2" t="inlineStr">
        <is>
          <t>No Of Docs With Response Pg</t>
        </is>
      </c>
    </row>
    <row r="4" ht="15.6" customHeight="1">
      <c r="A4" s="3" t="inlineStr">
        <is>
          <t>Companies / company_name</t>
        </is>
      </c>
      <c r="B4" s="4">
        <f>'Field 1'!$O$3</f>
        <v/>
      </c>
      <c r="C4" s="4">
        <f>'Field 1'!$O$4</f>
        <v/>
      </c>
      <c r="D4" s="4">
        <f>'Field 1'!$O$5</f>
        <v/>
      </c>
      <c r="E4" s="4">
        <f>'Field 1'!$O$6</f>
        <v/>
      </c>
      <c r="F4" s="5">
        <f>'Field 1'!$O$7</f>
        <v/>
      </c>
      <c r="G4" s="5">
        <f>'Field 1'!$O$8</f>
        <v/>
      </c>
      <c r="H4" s="5">
        <f>'Field 1'!$O$9</f>
        <v/>
      </c>
    </row>
    <row r="5" ht="15.6" customHeight="1">
      <c r="A5" s="3" t="inlineStr">
        <is>
          <t>Companies / role_desc</t>
        </is>
      </c>
      <c r="B5" s="4">
        <f>'Field 2'!$O$3</f>
        <v/>
      </c>
      <c r="C5" s="4">
        <f>'Field 2'!$O$4</f>
        <v/>
      </c>
      <c r="D5" s="4">
        <f>'Field 2'!$O$5</f>
        <v/>
      </c>
      <c r="E5" s="4">
        <f>'Field 2'!$O$6</f>
        <v/>
      </c>
      <c r="F5" s="5">
        <f>'Field 2'!$O$7</f>
        <v/>
      </c>
      <c r="G5" s="5">
        <f>'Field 2'!$O$8</f>
        <v/>
      </c>
      <c r="H5" s="5">
        <f>'Field 2'!$O$9</f>
        <v/>
      </c>
    </row>
    <row r="6" ht="15.6" customHeight="1">
      <c r="A6" s="3" t="inlineStr">
        <is>
          <t>Lease_Comp_Details / act_1954_f</t>
        </is>
      </c>
      <c r="B6" s="4">
        <f>'Field 3'!$O$3</f>
        <v/>
      </c>
      <c r="C6" s="4">
        <f>'Field 3'!$O$4</f>
        <v/>
      </c>
      <c r="D6" s="4">
        <f>'Field 3'!$O$5</f>
        <v/>
      </c>
      <c r="E6" s="4">
        <f>'Field 3'!$O$6</f>
        <v/>
      </c>
      <c r="F6" s="5">
        <f>'Field 3'!$O$7</f>
        <v/>
      </c>
      <c r="G6" s="5">
        <f>'Field 3'!$O$8</f>
        <v/>
      </c>
      <c r="H6" s="5">
        <f>'Field 3'!$O$9</f>
        <v/>
      </c>
    </row>
    <row r="7" ht="15.6" customHeight="1">
      <c r="A7" s="3" t="inlineStr">
        <is>
          <t>Lease_Comp_Details / arrangement_end_action_status_reason_type_desc</t>
        </is>
      </c>
      <c r="B7" s="4">
        <f>'Field 4'!$O$3</f>
        <v/>
      </c>
      <c r="C7" s="4">
        <f>'Field 4'!$O$4</f>
        <v/>
      </c>
      <c r="D7" s="4">
        <f>'Field 4'!$O$5</f>
        <v/>
      </c>
      <c r="E7" s="4">
        <f>'Field 4'!$O$6</f>
        <v/>
      </c>
      <c r="F7" s="5">
        <f>'Field 4'!$O$7</f>
        <v/>
      </c>
      <c r="G7" s="5">
        <f>'Field 4'!$O$8</f>
        <v/>
      </c>
      <c r="H7" s="5">
        <f>'Field 4'!$O$9</f>
        <v/>
      </c>
    </row>
    <row r="8" ht="15.6" customHeight="1">
      <c r="A8" s="3" t="inlineStr">
        <is>
          <t>Lease_Comp_Details / arrangement_end_action_status_type_desc</t>
        </is>
      </c>
      <c r="B8" s="4">
        <f>'Field 5'!$O$3</f>
        <v/>
      </c>
      <c r="C8" s="4">
        <f>'Field 5'!$O$4</f>
        <v/>
      </c>
      <c r="D8" s="4">
        <f>'Field 5'!$O$5</f>
        <v/>
      </c>
      <c r="E8" s="4">
        <f>'Field 5'!$O$6</f>
        <v/>
      </c>
      <c r="F8" s="5">
        <f>'Field 5'!$O$7</f>
        <v/>
      </c>
      <c r="G8" s="5">
        <f>'Field 5'!$O$8</f>
        <v/>
      </c>
      <c r="H8" s="5">
        <f>'Field 5'!$O$9</f>
        <v/>
      </c>
    </row>
    <row r="9" ht="15.6" customHeight="1">
      <c r="A9" s="3" t="inlineStr">
        <is>
          <t>Lease_Comp_Details / arrangement_end_future_action_date</t>
        </is>
      </c>
      <c r="B9" s="4">
        <f>'Field 6'!$O$3</f>
        <v/>
      </c>
      <c r="C9" s="4">
        <f>'Field 6'!$O$4</f>
        <v/>
      </c>
      <c r="D9" s="4">
        <f>'Field 6'!$O$5</f>
        <v/>
      </c>
      <c r="E9" s="4">
        <f>'Field 6'!$O$6</f>
        <v/>
      </c>
      <c r="F9" s="5">
        <f>'Field 6'!$O$7</f>
        <v/>
      </c>
      <c r="G9" s="5">
        <f>'Field 6'!$O$8</f>
        <v/>
      </c>
      <c r="H9" s="5">
        <f>'Field 6'!$O$9</f>
        <v/>
      </c>
    </row>
    <row r="10" ht="15.6" customHeight="1">
      <c r="A10" s="3" t="inlineStr">
        <is>
          <t>Lease_Comp_Details / arrangement_end_future_action_type_desc</t>
        </is>
      </c>
      <c r="B10" s="4">
        <f>'Field 7'!$O$3</f>
        <v/>
      </c>
      <c r="C10" s="4">
        <f>'Field 7'!$O$4</f>
        <v/>
      </c>
      <c r="D10" s="4">
        <f>'Field 7'!$O$5</f>
        <v/>
      </c>
      <c r="E10" s="4">
        <f>'Field 7'!$O$6</f>
        <v/>
      </c>
      <c r="F10" s="5">
        <f>'Field 7'!$O$7</f>
        <v/>
      </c>
      <c r="G10" s="5">
        <f>'Field 7'!$O$8</f>
        <v/>
      </c>
      <c r="H10" s="5">
        <f>'Field 7'!$O$9</f>
        <v/>
      </c>
    </row>
    <row r="11" ht="15.6" customHeight="1">
      <c r="A11" s="3" t="inlineStr">
        <is>
          <t>Lease_Comp_Details / lease_arrangement_reason_type_desc</t>
        </is>
      </c>
      <c r="B11" s="4">
        <f>'Field 8'!$O$3</f>
        <v/>
      </c>
      <c r="C11" s="4">
        <f>'Field 8'!$O$4</f>
        <v/>
      </c>
      <c r="D11" s="4">
        <f>'Field 8'!$O$5</f>
        <v/>
      </c>
      <c r="E11" s="4">
        <f>'Field 8'!$O$6</f>
        <v/>
      </c>
      <c r="F11" s="5">
        <f>'Field 8'!$O$7</f>
        <v/>
      </c>
      <c r="G11" s="5">
        <f>'Field 8'!$O$8</f>
        <v/>
      </c>
      <c r="H11" s="5">
        <f>'Field 8'!$O$9</f>
        <v/>
      </c>
    </row>
    <row r="12" ht="15.6" customHeight="1">
      <c r="A12" s="3" t="inlineStr">
        <is>
          <t>Lease_Comp_Details / ref_lease_activity_type_desc</t>
        </is>
      </c>
      <c r="B12" s="4">
        <f>'Field 9'!$O$3</f>
        <v/>
      </c>
      <c r="C12" s="4">
        <f>'Field 9'!$O$4</f>
        <v/>
      </c>
      <c r="D12" s="4">
        <f>'Field 9'!$O$5</f>
        <v/>
      </c>
      <c r="E12" s="4">
        <f>'Field 9'!$O$6</f>
        <v/>
      </c>
      <c r="F12" s="5">
        <f>'Field 9'!$O$7</f>
        <v/>
      </c>
      <c r="G12" s="5">
        <f>'Field 9'!$O$8</f>
        <v/>
      </c>
      <c r="H12" s="5">
        <f>'Field 9'!$O$9</f>
        <v/>
      </c>
    </row>
    <row r="13" ht="15.6" customHeight="1">
      <c r="A13" s="3" t="inlineStr">
        <is>
          <t>Lease_Comp_Details / ref_lease_arrangement_type_desc</t>
        </is>
      </c>
      <c r="B13" s="4">
        <f>'Field 10'!$O$3</f>
        <v/>
      </c>
      <c r="C13" s="4">
        <f>'Field 10'!$O$4</f>
        <v/>
      </c>
      <c r="D13" s="4">
        <f>'Field 10'!$O$5</f>
        <v/>
      </c>
      <c r="E13" s="4">
        <f>'Field 10'!$O$6</f>
        <v/>
      </c>
      <c r="F13" s="5">
        <f>'Field 10'!$O$7</f>
        <v/>
      </c>
      <c r="G13" s="5">
        <f>'Field 10'!$O$8</f>
        <v/>
      </c>
      <c r="H13" s="5">
        <f>'Field 10'!$O$9</f>
        <v/>
      </c>
    </row>
    <row r="14" ht="15.6" customHeight="1">
      <c r="A14" s="3" t="inlineStr">
        <is>
          <t>Lease_Comp_Details / ref_total_leased_space_uom_desc</t>
        </is>
      </c>
      <c r="B14" s="4">
        <f>'Field 11'!$O$3</f>
        <v/>
      </c>
      <c r="C14" s="4">
        <f>'Field 11'!$O$4</f>
        <v/>
      </c>
      <c r="D14" s="4">
        <f>'Field 11'!$O$5</f>
        <v/>
      </c>
      <c r="E14" s="4">
        <f>'Field 11'!$O$6</f>
        <v/>
      </c>
      <c r="F14" s="5">
        <f>'Field 11'!$O$7</f>
        <v/>
      </c>
      <c r="G14" s="5">
        <f>'Field 11'!$O$8</f>
        <v/>
      </c>
      <c r="H14" s="5">
        <f>'Field 11'!$O$9</f>
        <v/>
      </c>
    </row>
    <row r="15" ht="15.6" customHeight="1">
      <c r="A15" s="3" t="inlineStr">
        <is>
          <t>Lease_Comp_Details / space_condition_type_desc</t>
        </is>
      </c>
      <c r="B15" s="4">
        <f>'Field 12'!$O$3</f>
        <v/>
      </c>
      <c r="C15" s="4">
        <f>'Field 12'!$O$4</f>
        <v/>
      </c>
      <c r="D15" s="4">
        <f>'Field 12'!$O$5</f>
        <v/>
      </c>
      <c r="E15" s="4">
        <f>'Field 12'!$O$6</f>
        <v/>
      </c>
      <c r="F15" s="5">
        <f>'Field 12'!$O$7</f>
        <v/>
      </c>
      <c r="G15" s="5">
        <f>'Field 12'!$O$8</f>
        <v/>
      </c>
      <c r="H15" s="5">
        <f>'Field 12'!$O$9</f>
        <v/>
      </c>
    </row>
    <row r="16" ht="15.6" customHeight="1">
      <c r="A16" s="3" t="inlineStr">
        <is>
          <t>Lease_Comp_Details / sublease_f</t>
        </is>
      </c>
      <c r="B16" s="4">
        <f>'Field 13'!$O$3</f>
        <v/>
      </c>
      <c r="C16" s="4">
        <f>'Field 13'!$O$4</f>
        <v/>
      </c>
      <c r="D16" s="4">
        <f>'Field 13'!$O$5</f>
        <v/>
      </c>
      <c r="E16" s="4">
        <f>'Field 13'!$O$6</f>
        <v/>
      </c>
      <c r="F16" s="5">
        <f>'Field 13'!$O$7</f>
        <v/>
      </c>
      <c r="G16" s="5">
        <f>'Field 13'!$O$8</f>
        <v/>
      </c>
      <c r="H16" s="5">
        <f>'Field 13'!$O$9</f>
        <v/>
      </c>
    </row>
    <row r="17" ht="15.6" customHeight="1">
      <c r="A17" s="3" t="inlineStr">
        <is>
          <t>Lease_Comp_Details / tenant_status_type_desc</t>
        </is>
      </c>
      <c r="B17" s="4">
        <f>'Field 14'!$O$3</f>
        <v/>
      </c>
      <c r="C17" s="4">
        <f>'Field 14'!$O$4</f>
        <v/>
      </c>
      <c r="D17" s="4">
        <f>'Field 14'!$O$5</f>
        <v/>
      </c>
      <c r="E17" s="4">
        <f>'Field 14'!$O$6</f>
        <v/>
      </c>
      <c r="F17" s="5">
        <f>'Field 14'!$O$7</f>
        <v/>
      </c>
      <c r="G17" s="5">
        <f>'Field 14'!$O$8</f>
        <v/>
      </c>
      <c r="H17" s="5">
        <f>'Field 14'!$O$9</f>
        <v/>
      </c>
    </row>
    <row r="18" ht="15.6" customHeight="1">
      <c r="A18" s="3" t="inlineStr">
        <is>
          <t>Lease_Comp_Details / total_leased_space</t>
        </is>
      </c>
      <c r="B18" s="4">
        <f>'Field 15'!$O$3</f>
        <v/>
      </c>
      <c r="C18" s="4">
        <f>'Field 15'!$O$4</f>
        <v/>
      </c>
      <c r="D18" s="4">
        <f>'Field 15'!$O$5</f>
        <v/>
      </c>
      <c r="E18" s="4">
        <f>'Field 15'!$O$6</f>
        <v/>
      </c>
      <c r="F18" s="5">
        <f>'Field 15'!$O$7</f>
        <v/>
      </c>
      <c r="G18" s="5">
        <f>'Field 15'!$O$8</f>
        <v/>
      </c>
      <c r="H18" s="5">
        <f>'Field 15'!$O$9</f>
        <v/>
      </c>
    </row>
    <row r="19" ht="15.6" customHeight="1">
      <c r="A19" s="3" t="inlineStr">
        <is>
          <t>Lease_Comp_Details / total_leased_space_estimated_f</t>
        </is>
      </c>
      <c r="B19" s="4">
        <f>'Field 16'!$O$3</f>
        <v/>
      </c>
      <c r="C19" s="4">
        <f>'Field 16'!$O$4</f>
        <v/>
      </c>
      <c r="D19" s="4">
        <f>'Field 16'!$O$5</f>
        <v/>
      </c>
      <c r="E19" s="4">
        <f>'Field 16'!$O$6</f>
        <v/>
      </c>
      <c r="F19" s="5">
        <f>'Field 16'!$O$7</f>
        <v/>
      </c>
      <c r="G19" s="5">
        <f>'Field 16'!$O$8</f>
        <v/>
      </c>
      <c r="H19" s="5">
        <f>'Field 16'!$O$9</f>
        <v/>
      </c>
    </row>
    <row r="20" ht="15.6" customHeight="1">
      <c r="A20" s="3" t="inlineStr">
        <is>
          <t>Property / property_name</t>
        </is>
      </c>
      <c r="B20" s="4">
        <f>'Field 17'!$O$3</f>
        <v/>
      </c>
      <c r="C20" s="4">
        <f>'Field 17'!$O$4</f>
        <v/>
      </c>
      <c r="D20" s="4">
        <f>'Field 17'!$O$5</f>
        <v/>
      </c>
      <c r="E20" s="4">
        <f>'Field 17'!$O$6</f>
        <v/>
      </c>
      <c r="F20" s="5">
        <f>'Field 17'!$O$7</f>
        <v/>
      </c>
      <c r="G20" s="5">
        <f>'Field 17'!$O$8</f>
        <v/>
      </c>
      <c r="H20" s="5">
        <f>'Field 17'!$O$9</f>
        <v/>
      </c>
    </row>
    <row r="21" ht="15.6" customHeight="1">
      <c r="A21" s="3" t="inlineStr">
        <is>
          <t>Terms / Arrangement_End_Date</t>
        </is>
      </c>
      <c r="B21" s="4">
        <f>'Field 18'!$O$3</f>
        <v/>
      </c>
      <c r="C21" s="4">
        <f>'Field 18'!$O$4</f>
        <v/>
      </c>
      <c r="D21" s="4">
        <f>'Field 18'!$O$5</f>
        <v/>
      </c>
      <c r="E21" s="4">
        <f>'Field 18'!$O$6</f>
        <v/>
      </c>
      <c r="F21" s="5">
        <f>'Field 18'!$O$7</f>
        <v/>
      </c>
      <c r="G21" s="5">
        <f>'Field 18'!$O$8</f>
        <v/>
      </c>
      <c r="H21" s="5">
        <f>'Field 18'!$O$9</f>
        <v/>
      </c>
    </row>
    <row r="22" ht="15.6" customHeight="1">
      <c r="A22" s="3" t="inlineStr">
        <is>
          <t>Terms / Arrangement_Signed_Date</t>
        </is>
      </c>
      <c r="B22" s="4">
        <f>'Field 19'!$O$3</f>
        <v/>
      </c>
      <c r="C22" s="4">
        <f>'Field 19'!$O$4</f>
        <v/>
      </c>
      <c r="D22" s="4">
        <f>'Field 19'!$O$5</f>
        <v/>
      </c>
      <c r="E22" s="4">
        <f>'Field 19'!$O$6</f>
        <v/>
      </c>
      <c r="F22" s="5">
        <f>'Field 19'!$O$7</f>
        <v/>
      </c>
      <c r="G22" s="5">
        <f>'Field 19'!$O$8</f>
        <v/>
      </c>
      <c r="H22" s="5">
        <f>'Field 19'!$O$9</f>
        <v/>
      </c>
    </row>
    <row r="23" ht="15.6" customHeight="1">
      <c r="A23" s="3" t="inlineStr">
        <is>
          <t>Terms / Arrangement_Start_Date</t>
        </is>
      </c>
      <c r="B23" s="4">
        <f>'Field 20'!$O$3</f>
        <v/>
      </c>
      <c r="C23" s="4">
        <f>'Field 20'!$O$4</f>
        <v/>
      </c>
      <c r="D23" s="4">
        <f>'Field 20'!$O$5</f>
        <v/>
      </c>
      <c r="E23" s="4">
        <f>'Field 20'!$O$6</f>
        <v/>
      </c>
      <c r="F23" s="5">
        <f>'Field 20'!$O$7</f>
        <v/>
      </c>
      <c r="G23" s="5">
        <f>'Field 20'!$O$8</f>
        <v/>
      </c>
      <c r="H23" s="5">
        <f>'Field 20'!$O$9</f>
        <v/>
      </c>
    </row>
    <row r="24" ht="15.6" customHeight="1">
      <c r="A24" s="3" t="inlineStr">
        <is>
          <t>Terms / Asking_Rent_Monthly</t>
        </is>
      </c>
      <c r="B24" s="4">
        <f>'Field 21'!$O$3</f>
        <v/>
      </c>
      <c r="C24" s="4">
        <f>'Field 21'!$O$4</f>
        <v/>
      </c>
      <c r="D24" s="4">
        <f>'Field 21'!$O$5</f>
        <v/>
      </c>
      <c r="E24" s="4">
        <f>'Field 21'!$O$6</f>
        <v/>
      </c>
      <c r="F24" s="5">
        <f>'Field 21'!$O$7</f>
        <v/>
      </c>
      <c r="G24" s="5">
        <f>'Field 21'!$O$8</f>
        <v/>
      </c>
      <c r="H24" s="5">
        <f>'Field 21'!$O$9</f>
        <v/>
      </c>
    </row>
    <row r="25" ht="15.6" customHeight="1">
      <c r="A25" s="3" t="inlineStr">
        <is>
          <t>Terms / Asking_Rent_Yearly</t>
        </is>
      </c>
      <c r="B25" s="4">
        <f>'Field 22'!$O$3</f>
        <v/>
      </c>
      <c r="C25" s="4">
        <f>'Field 22'!$O$4</f>
        <v/>
      </c>
      <c r="D25" s="4">
        <f>'Field 22'!$O$5</f>
        <v/>
      </c>
      <c r="E25" s="4">
        <f>'Field 22'!$O$6</f>
        <v/>
      </c>
      <c r="F25" s="5">
        <f>'Field 22'!$O$7</f>
        <v/>
      </c>
      <c r="G25" s="5">
        <f>'Field 22'!$O$8</f>
        <v/>
      </c>
      <c r="H25" s="5">
        <f>'Field 22'!$O$9</f>
        <v/>
      </c>
    </row>
    <row r="26" ht="15.6" customHeight="1">
      <c r="A26" s="3" t="inlineStr">
        <is>
          <t>Terms / Cost_per_Reserved_Parking_Space</t>
        </is>
      </c>
      <c r="B26" s="4">
        <f>'Field 23'!$O$3</f>
        <v/>
      </c>
      <c r="C26" s="4">
        <f>'Field 23'!$O$4</f>
        <v/>
      </c>
      <c r="D26" s="4">
        <f>'Field 23'!$O$5</f>
        <v/>
      </c>
      <c r="E26" s="4">
        <f>'Field 23'!$O$6</f>
        <v/>
      </c>
      <c r="F26" s="5">
        <f>'Field 23'!$O$7</f>
        <v/>
      </c>
      <c r="G26" s="5">
        <f>'Field 23'!$O$8</f>
        <v/>
      </c>
      <c r="H26" s="5">
        <f>'Field 23'!$O$9</f>
        <v/>
      </c>
    </row>
    <row r="27" ht="15.6" customHeight="1">
      <c r="A27" s="3" t="inlineStr">
        <is>
          <t>Terms / Effective_Rent_Monthly</t>
        </is>
      </c>
      <c r="B27" s="4">
        <f>'Field 24'!$O$3</f>
        <v/>
      </c>
      <c r="C27" s="4">
        <f>'Field 24'!$O$4</f>
        <v/>
      </c>
      <c r="D27" s="4">
        <f>'Field 24'!$O$5</f>
        <v/>
      </c>
      <c r="E27" s="4">
        <f>'Field 24'!$O$6</f>
        <v/>
      </c>
      <c r="F27" s="5">
        <f>'Field 24'!$O$7</f>
        <v/>
      </c>
      <c r="G27" s="5">
        <f>'Field 24'!$O$8</f>
        <v/>
      </c>
      <c r="H27" s="5">
        <f>'Field 24'!$O$9</f>
        <v/>
      </c>
    </row>
    <row r="28" ht="15.6" customHeight="1">
      <c r="A28" s="3" t="inlineStr">
        <is>
          <t>Terms / Effective_Rent_Yearly</t>
        </is>
      </c>
      <c r="B28" s="4">
        <f>'Field 25'!$O$3</f>
        <v/>
      </c>
      <c r="C28" s="4">
        <f>'Field 25'!$O$4</f>
        <v/>
      </c>
      <c r="D28" s="4">
        <f>'Field 25'!$O$5</f>
        <v/>
      </c>
      <c r="E28" s="4">
        <f>'Field 25'!$O$6</f>
        <v/>
      </c>
      <c r="F28" s="5">
        <f>'Field 25'!$O$7</f>
        <v/>
      </c>
      <c r="G28" s="5">
        <f>'Field 25'!$O$8</f>
        <v/>
      </c>
      <c r="H28" s="5">
        <f>'Field 25'!$O$9</f>
        <v/>
      </c>
    </row>
    <row r="29" ht="15.6" customHeight="1">
      <c r="A29" s="3" t="inlineStr">
        <is>
          <t>Terms / Lease_Term</t>
        </is>
      </c>
      <c r="B29" s="4">
        <f>'Field 26'!$O$3</f>
        <v/>
      </c>
      <c r="C29" s="4">
        <f>'Field 26'!$O$4</f>
        <v/>
      </c>
      <c r="D29" s="4">
        <f>'Field 26'!$O$5</f>
        <v/>
      </c>
      <c r="E29" s="4">
        <f>'Field 26'!$O$6</f>
        <v/>
      </c>
      <c r="F29" s="5">
        <f>'Field 26'!$O$7</f>
        <v/>
      </c>
      <c r="G29" s="5">
        <f>'Field 26'!$O$8</f>
        <v/>
      </c>
      <c r="H29" s="5">
        <f>'Field 26'!$O$9</f>
        <v/>
      </c>
    </row>
    <row r="30" ht="15.6" customHeight="1">
      <c r="A30" s="3" t="inlineStr">
        <is>
          <t>Terms / Number_Of_Month_Free_Rent</t>
        </is>
      </c>
      <c r="B30" s="4">
        <f>'Field 27'!$O$3</f>
        <v/>
      </c>
      <c r="C30" s="4">
        <f>'Field 27'!$O$4</f>
        <v/>
      </c>
      <c r="D30" s="4">
        <f>'Field 27'!$O$5</f>
        <v/>
      </c>
      <c r="E30" s="4">
        <f>'Field 27'!$O$6</f>
        <v/>
      </c>
      <c r="F30" s="5">
        <f>'Field 27'!$O$7</f>
        <v/>
      </c>
      <c r="G30" s="5">
        <f>'Field 27'!$O$8</f>
        <v/>
      </c>
      <c r="H30" s="5">
        <f>'Field 27'!$O$9</f>
        <v/>
      </c>
    </row>
    <row r="31" ht="15.6" customHeight="1">
      <c r="A31" s="3" t="inlineStr">
        <is>
          <t>Terms / Occupancy_Date</t>
        </is>
      </c>
      <c r="B31" s="4">
        <f>'Field 28'!$O$3</f>
        <v/>
      </c>
      <c r="C31" s="4">
        <f>'Field 28'!$O$4</f>
        <v/>
      </c>
      <c r="D31" s="4">
        <f>'Field 28'!$O$5</f>
        <v/>
      </c>
      <c r="E31" s="4">
        <f>'Field 28'!$O$6</f>
        <v/>
      </c>
      <c r="F31" s="5">
        <f>'Field 28'!$O$7</f>
        <v/>
      </c>
      <c r="G31" s="5">
        <f>'Field 28'!$O$8</f>
        <v/>
      </c>
      <c r="H31" s="5">
        <f>'Field 28'!$O$9</f>
        <v/>
      </c>
    </row>
    <row r="32" ht="15.6" customHeight="1">
      <c r="A32" s="3" t="inlineStr">
        <is>
          <t>Terms / Option_Notes</t>
        </is>
      </c>
      <c r="B32" s="4">
        <f>'Field 29'!$O$3</f>
        <v/>
      </c>
      <c r="C32" s="4">
        <f>'Field 29'!$O$4</f>
        <v/>
      </c>
      <c r="D32" s="4">
        <f>'Field 29'!$O$5</f>
        <v/>
      </c>
      <c r="E32" s="4">
        <f>'Field 29'!$O$6</f>
        <v/>
      </c>
      <c r="F32" s="5">
        <f>'Field 29'!$O$7</f>
        <v/>
      </c>
      <c r="G32" s="5">
        <f>'Field 29'!$O$8</f>
        <v/>
      </c>
      <c r="H32" s="5">
        <f>'Field 29'!$O$9</f>
        <v/>
      </c>
    </row>
    <row r="33" ht="15.6" customHeight="1">
      <c r="A33" s="3" t="inlineStr">
        <is>
          <t>Terms / Ref_asking_rent_monthly_uom_desc</t>
        </is>
      </c>
      <c r="B33" s="4">
        <f>'Field 30'!$O$3</f>
        <v/>
      </c>
      <c r="C33" s="4">
        <f>'Field 30'!$O$4</f>
        <v/>
      </c>
      <c r="D33" s="4">
        <f>'Field 30'!$O$5</f>
        <v/>
      </c>
      <c r="E33" s="4">
        <f>'Field 30'!$O$6</f>
        <v/>
      </c>
      <c r="F33" s="5">
        <f>'Field 30'!$O$7</f>
        <v/>
      </c>
      <c r="G33" s="5">
        <f>'Field 30'!$O$8</f>
        <v/>
      </c>
      <c r="H33" s="5">
        <f>'Field 30'!$O$9</f>
        <v/>
      </c>
    </row>
    <row r="34" ht="15.6" customHeight="1">
      <c r="A34" s="3" t="inlineStr">
        <is>
          <t>Terms / Ref_asking_rent_yearly_uom_desc</t>
        </is>
      </c>
      <c r="B34" s="4">
        <f>'Field 31'!$O$3</f>
        <v/>
      </c>
      <c r="C34" s="4">
        <f>'Field 31'!$O$4</f>
        <v/>
      </c>
      <c r="D34" s="4">
        <f>'Field 31'!$O$5</f>
        <v/>
      </c>
      <c r="E34" s="4">
        <f>'Field 31'!$O$6</f>
        <v/>
      </c>
      <c r="F34" s="5">
        <f>'Field 31'!$O$7</f>
        <v/>
      </c>
      <c r="G34" s="5">
        <f>'Field 31'!$O$8</f>
        <v/>
      </c>
      <c r="H34" s="5">
        <f>'Field 31'!$O$9</f>
        <v/>
      </c>
    </row>
    <row r="35" ht="15.6" customHeight="1">
      <c r="A35" s="3" t="inlineStr">
        <is>
          <t>Terms / Ref_cost_per_reserved_parking_space_uom_desc</t>
        </is>
      </c>
      <c r="B35" s="4">
        <f>'Field 32'!$O$3</f>
        <v/>
      </c>
      <c r="C35" s="4">
        <f>'Field 32'!$O$4</f>
        <v/>
      </c>
      <c r="D35" s="4">
        <f>'Field 32'!$O$5</f>
        <v/>
      </c>
      <c r="E35" s="4">
        <f>'Field 32'!$O$6</f>
        <v/>
      </c>
      <c r="F35" s="5">
        <f>'Field 32'!$O$7</f>
        <v/>
      </c>
      <c r="G35" s="5">
        <f>'Field 32'!$O$8</f>
        <v/>
      </c>
      <c r="H35" s="5">
        <f>'Field 32'!$O$9</f>
        <v/>
      </c>
    </row>
    <row r="36" ht="15.6" customHeight="1">
      <c r="A36" s="3" t="inlineStr">
        <is>
          <t>Terms / Ref_effective_rent_monthly_uom_desc</t>
        </is>
      </c>
      <c r="B36" s="4">
        <f>'Field 33'!$O$3</f>
        <v/>
      </c>
      <c r="C36" s="4">
        <f>'Field 33'!$O$4</f>
        <v/>
      </c>
      <c r="D36" s="4">
        <f>'Field 33'!$O$5</f>
        <v/>
      </c>
      <c r="E36" s="4">
        <f>'Field 33'!$O$6</f>
        <v/>
      </c>
      <c r="F36" s="5">
        <f>'Field 33'!$O$7</f>
        <v/>
      </c>
      <c r="G36" s="5">
        <f>'Field 33'!$O$8</f>
        <v/>
      </c>
      <c r="H36" s="5">
        <f>'Field 33'!$O$9</f>
        <v/>
      </c>
    </row>
    <row r="37" ht="15.6" customHeight="1">
      <c r="A37" s="3" t="inlineStr">
        <is>
          <t>Terms / Ref_effective_rent_yearly_uom_desc</t>
        </is>
      </c>
      <c r="B37" s="4">
        <f>'Field 34'!$O$3</f>
        <v/>
      </c>
      <c r="C37" s="4">
        <f>'Field 34'!$O$4</f>
        <v/>
      </c>
      <c r="D37" s="4">
        <f>'Field 34'!$O$5</f>
        <v/>
      </c>
      <c r="E37" s="4">
        <f>'Field 34'!$O$6</f>
        <v/>
      </c>
      <c r="F37" s="5">
        <f>'Field 34'!$O$7</f>
        <v/>
      </c>
      <c r="G37" s="5">
        <f>'Field 34'!$O$8</f>
        <v/>
      </c>
      <c r="H37" s="5">
        <f>'Field 34'!$O$9</f>
        <v/>
      </c>
    </row>
    <row r="38" ht="15.6" customHeight="1">
      <c r="A38" s="3" t="inlineStr">
        <is>
          <t>Terms / Ref_lease_term_uom_desc</t>
        </is>
      </c>
      <c r="B38" s="4">
        <f>'Field 35'!$O$3</f>
        <v/>
      </c>
      <c r="C38" s="4">
        <f>'Field 35'!$O$4</f>
        <v/>
      </c>
      <c r="D38" s="4">
        <f>'Field 35'!$O$5</f>
        <v/>
      </c>
      <c r="E38" s="4">
        <f>'Field 35'!$O$6</f>
        <v/>
      </c>
      <c r="F38" s="5">
        <f>'Field 35'!$O$7</f>
        <v/>
      </c>
      <c r="G38" s="5">
        <f>'Field 35'!$O$8</f>
        <v/>
      </c>
      <c r="H38" s="5">
        <f>'Field 35'!$O$9</f>
        <v/>
      </c>
    </row>
    <row r="39" ht="15.6" customHeight="1">
      <c r="A39" s="3" t="inlineStr">
        <is>
          <t>Terms / Ref_service_charge_per_area_value_price_uom_desc</t>
        </is>
      </c>
      <c r="B39" s="4">
        <f>'Field 36'!$O$3</f>
        <v/>
      </c>
      <c r="C39" s="4">
        <f>'Field 36'!$O$4</f>
        <v/>
      </c>
      <c r="D39" s="4">
        <f>'Field 36'!$O$5</f>
        <v/>
      </c>
      <c r="E39" s="4">
        <f>'Field 36'!$O$6</f>
        <v/>
      </c>
      <c r="F39" s="5">
        <f>'Field 36'!$O$7</f>
        <v/>
      </c>
      <c r="G39" s="5">
        <f>'Field 36'!$O$8</f>
        <v/>
      </c>
      <c r="H39" s="5">
        <f>'Field 36'!$O$9</f>
        <v/>
      </c>
    </row>
    <row r="40" ht="15.6" customHeight="1">
      <c r="A40" s="3" t="inlineStr">
        <is>
          <t>Terms / Ref_tenant_improvement_allowance_uom_desc</t>
        </is>
      </c>
      <c r="B40" s="4">
        <f>'Field 37'!$O$3</f>
        <v/>
      </c>
      <c r="C40" s="4">
        <f>'Field 37'!$O$4</f>
        <v/>
      </c>
      <c r="D40" s="4">
        <f>'Field 37'!$O$5</f>
        <v/>
      </c>
      <c r="E40" s="4">
        <f>'Field 37'!$O$6</f>
        <v/>
      </c>
      <c r="F40" s="5">
        <f>'Field 37'!$O$7</f>
        <v/>
      </c>
      <c r="G40" s="5">
        <f>'Field 37'!$O$8</f>
        <v/>
      </c>
      <c r="H40" s="5">
        <f>'Field 37'!$O$9</f>
        <v/>
      </c>
    </row>
    <row r="41" ht="15.6" customHeight="1">
      <c r="A41" s="3" t="inlineStr">
        <is>
          <t>Terms / Reserved_Parking_Spaces</t>
        </is>
      </c>
      <c r="B41" s="4">
        <f>'Field 38'!$O$3</f>
        <v/>
      </c>
      <c r="C41" s="4">
        <f>'Field 38'!$O$4</f>
        <v/>
      </c>
      <c r="D41" s="4">
        <f>'Field 38'!$O$5</f>
        <v/>
      </c>
      <c r="E41" s="4">
        <f>'Field 38'!$O$6</f>
        <v/>
      </c>
      <c r="F41" s="5">
        <f>'Field 38'!$O$7</f>
        <v/>
      </c>
      <c r="G41" s="5">
        <f>'Field 38'!$O$8</f>
        <v/>
      </c>
      <c r="H41" s="5">
        <f>'Field 38'!$O$9</f>
        <v/>
      </c>
    </row>
    <row r="42" ht="15.6" customHeight="1">
      <c r="A42" s="3" t="inlineStr">
        <is>
          <t>Terms / Service_Charge_Per_Area_Value</t>
        </is>
      </c>
      <c r="B42" s="4">
        <f>'Field 39'!$O$3</f>
        <v/>
      </c>
      <c r="C42" s="4">
        <f>'Field 39'!$O$4</f>
        <v/>
      </c>
      <c r="D42" s="4">
        <f>'Field 39'!$O$5</f>
        <v/>
      </c>
      <c r="E42" s="4">
        <f>'Field 39'!$O$6</f>
        <v/>
      </c>
      <c r="F42" s="5">
        <f>'Field 39'!$O$7</f>
        <v/>
      </c>
      <c r="G42" s="5">
        <f>'Field 39'!$O$8</f>
        <v/>
      </c>
      <c r="H42" s="5">
        <f>'Field 39'!$O$9</f>
        <v/>
      </c>
    </row>
    <row r="43" ht="15.6" customHeight="1">
      <c r="A43" s="3" t="inlineStr">
        <is>
          <t>Terms / Tenant_Improvement_Allowance</t>
        </is>
      </c>
      <c r="B43" s="4">
        <f>'Field 40'!$O$3</f>
        <v/>
      </c>
      <c r="C43" s="4">
        <f>'Field 40'!$O$4</f>
        <v/>
      </c>
      <c r="D43" s="4">
        <f>'Field 40'!$O$5</f>
        <v/>
      </c>
      <c r="E43" s="4">
        <f>'Field 40'!$O$6</f>
        <v/>
      </c>
      <c r="F43" s="5">
        <f>'Field 40'!$O$7</f>
        <v/>
      </c>
      <c r="G43" s="5">
        <f>'Field 40'!$O$8</f>
        <v/>
      </c>
      <c r="H43" s="5">
        <f>'Field 40'!$O$9</f>
        <v/>
      </c>
    </row>
    <row r="44" ht="15.6" customHeight="1">
      <c r="A44" s="3" t="inlineStr">
        <is>
          <t>floor_suite / arrangement_space_area</t>
        </is>
      </c>
      <c r="B44" s="4">
        <f>'Field 41'!$O$3</f>
        <v/>
      </c>
      <c r="C44" s="4">
        <f>'Field 41'!$O$4</f>
        <v/>
      </c>
      <c r="D44" s="4">
        <f>'Field 41'!$O$5</f>
        <v/>
      </c>
      <c r="E44" s="4">
        <f>'Field 41'!$O$6</f>
        <v/>
      </c>
      <c r="F44" s="5">
        <f>'Field 41'!$O$7</f>
        <v/>
      </c>
      <c r="G44" s="5">
        <f>'Field 41'!$O$8</f>
        <v/>
      </c>
      <c r="H44" s="5">
        <f>'Field 41'!$O$9</f>
        <v/>
      </c>
    </row>
    <row r="45" ht="15.6" customHeight="1">
      <c r="A45" s="3" t="inlineStr">
        <is>
          <t>floor_suite / floor_number</t>
        </is>
      </c>
      <c r="B45" s="4">
        <f>'Field 42'!$O$3</f>
        <v/>
      </c>
      <c r="C45" s="4">
        <f>'Field 42'!$O$4</f>
        <v/>
      </c>
      <c r="D45" s="4">
        <f>'Field 42'!$O$5</f>
        <v/>
      </c>
      <c r="E45" s="4">
        <f>'Field 42'!$O$6</f>
        <v/>
      </c>
      <c r="F45" s="5">
        <f>'Field 42'!$O$7</f>
        <v/>
      </c>
      <c r="G45" s="5">
        <f>'Field 42'!$O$8</f>
        <v/>
      </c>
      <c r="H45" s="5">
        <f>'Field 42'!$O$9</f>
        <v/>
      </c>
    </row>
    <row r="46" ht="15.6" customHeight="1">
      <c r="A46" s="3" t="inlineStr">
        <is>
          <t>floor_suite / full_floor_f</t>
        </is>
      </c>
      <c r="B46" s="4">
        <f>'Field 43'!$O$3</f>
        <v/>
      </c>
      <c r="C46" s="4">
        <f>'Field 43'!$O$4</f>
        <v/>
      </c>
      <c r="D46" s="4">
        <f>'Field 43'!$O$5</f>
        <v/>
      </c>
      <c r="E46" s="4">
        <f>'Field 43'!$O$6</f>
        <v/>
      </c>
      <c r="F46" s="5">
        <f>'Field 43'!$O$7</f>
        <v/>
      </c>
      <c r="G46" s="5">
        <f>'Field 43'!$O$8</f>
        <v/>
      </c>
      <c r="H46" s="5">
        <f>'Field 43'!$O$9</f>
        <v/>
      </c>
    </row>
    <row r="47" ht="15.6" customHeight="1">
      <c r="A47" s="3" t="inlineStr">
        <is>
          <t>floor_suite / ref_arrangement_space_area_uom_desc</t>
        </is>
      </c>
      <c r="B47" s="4">
        <f>'Field 44'!$O$3</f>
        <v/>
      </c>
      <c r="C47" s="4">
        <f>'Field 44'!$O$4</f>
        <v/>
      </c>
      <c r="D47" s="4">
        <f>'Field 44'!$O$5</f>
        <v/>
      </c>
      <c r="E47" s="4">
        <f>'Field 44'!$O$6</f>
        <v/>
      </c>
      <c r="F47" s="5">
        <f>'Field 44'!$O$7</f>
        <v/>
      </c>
      <c r="G47" s="5">
        <f>'Field 44'!$O$8</f>
        <v/>
      </c>
      <c r="H47" s="5">
        <f>'Field 44'!$O$9</f>
        <v/>
      </c>
    </row>
    <row r="48" ht="15.6" customHeight="1">
      <c r="A48" s="3" t="inlineStr">
        <is>
          <t>floor_suite / suite_number</t>
        </is>
      </c>
      <c r="B48" s="4">
        <f>'Field 45'!$O$3</f>
        <v/>
      </c>
      <c r="C48" s="4">
        <f>'Field 45'!$O$4</f>
        <v/>
      </c>
      <c r="D48" s="4">
        <f>'Field 45'!$O$5</f>
        <v/>
      </c>
      <c r="E48" s="4">
        <f>'Field 45'!$O$6</f>
        <v/>
      </c>
      <c r="F48" s="5">
        <f>'Field 45'!$O$7</f>
        <v/>
      </c>
      <c r="G48" s="5">
        <f>'Field 45'!$O$8</f>
        <v/>
      </c>
      <c r="H48" s="5">
        <f>'Field 45'!$O$9</f>
        <v/>
      </c>
    </row>
    <row r="49" ht="15.6" customHeight="1">
      <c r="A49" s="3" t="inlineStr">
        <is>
          <t>floor_suite / tenancy_status_desc</t>
        </is>
      </c>
      <c r="B49" s="4">
        <f>'Field 46'!$O$3</f>
        <v/>
      </c>
      <c r="C49" s="4">
        <f>'Field 46'!$O$4</f>
        <v/>
      </c>
      <c r="D49" s="4">
        <f>'Field 46'!$O$5</f>
        <v/>
      </c>
      <c r="E49" s="4">
        <f>'Field 46'!$O$6</f>
        <v/>
      </c>
      <c r="F49" s="5">
        <f>'Field 46'!$O$7</f>
        <v/>
      </c>
      <c r="G49" s="5">
        <f>'Field 46'!$O$8</f>
        <v/>
      </c>
      <c r="H49" s="5">
        <f>'Field 46'!$O$9</f>
        <v/>
      </c>
    </row>
    <row r="50" ht="15.6" customHeight="1">
      <c r="A50" s="3" t="inlineStr">
        <is>
          <t>floor_suite / tenancy_status_reason_desc</t>
        </is>
      </c>
      <c r="B50" s="4">
        <f>'Field 47'!$O$3</f>
        <v/>
      </c>
      <c r="C50" s="4">
        <f>'Field 47'!$O$4</f>
        <v/>
      </c>
      <c r="D50" s="4">
        <f>'Field 47'!$O$5</f>
        <v/>
      </c>
      <c r="E50" s="4">
        <f>'Field 47'!$O$6</f>
        <v/>
      </c>
      <c r="F50" s="5">
        <f>'Field 47'!$O$7</f>
        <v/>
      </c>
      <c r="G50" s="5">
        <f>'Field 47'!$O$8</f>
        <v/>
      </c>
      <c r="H50" s="5">
        <f>'Field 47'!$O$9</f>
        <v/>
      </c>
    </row>
    <row r="51" ht="15.6" customHeight="1">
      <c r="A51" s="3" t="inlineStr">
        <is>
          <t>floor_suite / tenancy_status_reason_notes</t>
        </is>
      </c>
      <c r="B51" s="4">
        <f>'Field 48'!$O$3</f>
        <v/>
      </c>
      <c r="C51" s="4">
        <f>'Field 48'!$O$4</f>
        <v/>
      </c>
      <c r="D51" s="4">
        <f>'Field 48'!$O$5</f>
        <v/>
      </c>
      <c r="E51" s="4">
        <f>'Field 48'!$O$6</f>
        <v/>
      </c>
      <c r="F51" s="5">
        <f>'Field 48'!$O$7</f>
        <v/>
      </c>
      <c r="G51" s="5">
        <f>'Field 48'!$O$8</f>
        <v/>
      </c>
      <c r="H51" s="5">
        <f>'Field 48'!$O$9</f>
        <v/>
      </c>
    </row>
    <row r="52" ht="15.6" customHeight="1">
      <c r="A52" s="3" t="inlineStr">
        <is>
          <t>lease_break / arrangement_option_executor_type_desc</t>
        </is>
      </c>
      <c r="B52" s="4">
        <f>'Field 49'!$O$3</f>
        <v/>
      </c>
      <c r="C52" s="4">
        <f>'Field 49'!$O$4</f>
        <v/>
      </c>
      <c r="D52" s="4">
        <f>'Field 49'!$O$5</f>
        <v/>
      </c>
      <c r="E52" s="4">
        <f>'Field 49'!$O$6</f>
        <v/>
      </c>
      <c r="F52" s="5">
        <f>'Field 49'!$O$7</f>
        <v/>
      </c>
      <c r="G52" s="5">
        <f>'Field 49'!$O$8</f>
        <v/>
      </c>
      <c r="H52" s="5">
        <f>'Field 49'!$O$9</f>
        <v/>
      </c>
    </row>
    <row r="53" ht="15.6" customHeight="1">
      <c r="A53" s="3" t="inlineStr">
        <is>
          <t>lease_break / arrangement_option_start_date</t>
        </is>
      </c>
      <c r="B53" s="4">
        <f>'Field 50'!$O$3</f>
        <v/>
      </c>
      <c r="C53" s="4">
        <f>'Field 50'!$O$4</f>
        <v/>
      </c>
      <c r="D53" s="4">
        <f>'Field 50'!$O$5</f>
        <v/>
      </c>
      <c r="E53" s="4">
        <f>'Field 50'!$O$6</f>
        <v/>
      </c>
      <c r="F53" s="5">
        <f>'Field 50'!$O$7</f>
        <v/>
      </c>
      <c r="G53" s="5">
        <f>'Field 50'!$O$8</f>
        <v/>
      </c>
      <c r="H53" s="5">
        <f>'Field 50'!$O$9</f>
        <v/>
      </c>
    </row>
    <row r="54" ht="15.6" customHeight="1">
      <c r="A54" s="3" t="inlineStr">
        <is>
          <t>measurements / asking_rent_yearly</t>
        </is>
      </c>
      <c r="B54" s="4">
        <f>'Field 51'!$O$3</f>
        <v/>
      </c>
      <c r="C54" s="4">
        <f>'Field 51'!$O$4</f>
        <v/>
      </c>
      <c r="D54" s="4">
        <f>'Field 51'!$O$5</f>
        <v/>
      </c>
      <c r="E54" s="4">
        <f>'Field 51'!$O$6</f>
        <v/>
      </c>
      <c r="F54" s="5">
        <f>'Field 51'!$O$7</f>
        <v/>
      </c>
      <c r="G54" s="5">
        <f>'Field 51'!$O$8</f>
        <v/>
      </c>
      <c r="H54" s="5">
        <f>'Field 51'!$O$9</f>
        <v/>
      </c>
    </row>
    <row r="55" ht="15.6" customHeight="1">
      <c r="A55" s="3" t="inlineStr">
        <is>
          <t>measurements / asking_rent_yearly_uom</t>
        </is>
      </c>
      <c r="B55" s="4">
        <f>'Field 52'!$O$3</f>
        <v/>
      </c>
      <c r="C55" s="4">
        <f>'Field 52'!$O$4</f>
        <v/>
      </c>
      <c r="D55" s="4">
        <f>'Field 52'!$O$5</f>
        <v/>
      </c>
      <c r="E55" s="4">
        <f>'Field 52'!$O$6</f>
        <v/>
      </c>
      <c r="F55" s="5">
        <f>'Field 52'!$O$7</f>
        <v/>
      </c>
      <c r="G55" s="5">
        <f>'Field 52'!$O$8</f>
        <v/>
      </c>
      <c r="H55" s="5">
        <f>'Field 52'!$O$9</f>
        <v/>
      </c>
    </row>
    <row r="56" ht="15.6" customHeight="1">
      <c r="A56" s="3" t="inlineStr">
        <is>
          <t>measurements / property_element_type_desc</t>
        </is>
      </c>
      <c r="B56" s="4">
        <f>'Field 53'!$O$3</f>
        <v/>
      </c>
      <c r="C56" s="4">
        <f>'Field 53'!$O$4</f>
        <v/>
      </c>
      <c r="D56" s="4">
        <f>'Field 53'!$O$5</f>
        <v/>
      </c>
      <c r="E56" s="4">
        <f>'Field 53'!$O$6</f>
        <v/>
      </c>
      <c r="F56" s="5">
        <f>'Field 53'!$O$7</f>
        <v/>
      </c>
      <c r="G56" s="5">
        <f>'Field 53'!$O$8</f>
        <v/>
      </c>
      <c r="H56" s="5">
        <f>'Field 53'!$O$9</f>
        <v/>
      </c>
    </row>
    <row r="57" ht="15.6" customHeight="1">
      <c r="A57" s="3" t="inlineStr">
        <is>
          <t>measurements / property_measurement_notes</t>
        </is>
      </c>
      <c r="B57" s="4">
        <f>'Field 54'!$O$3</f>
        <v/>
      </c>
      <c r="C57" s="4">
        <f>'Field 54'!$O$4</f>
        <v/>
      </c>
      <c r="D57" s="4">
        <f>'Field 54'!$O$5</f>
        <v/>
      </c>
      <c r="E57" s="4">
        <f>'Field 54'!$O$6</f>
        <v/>
      </c>
      <c r="F57" s="5">
        <f>'Field 54'!$O$7</f>
        <v/>
      </c>
      <c r="G57" s="5">
        <f>'Field 54'!$O$8</f>
        <v/>
      </c>
      <c r="H57" s="5">
        <f>'Field 54'!$O$9</f>
        <v/>
      </c>
    </row>
    <row r="58" ht="15.6" customHeight="1">
      <c r="A58" s="3" t="inlineStr">
        <is>
          <t>measurements / property_measurement_size</t>
        </is>
      </c>
      <c r="B58" s="4">
        <f>'Field 55'!$O$3</f>
        <v/>
      </c>
      <c r="C58" s="4">
        <f>'Field 55'!$O$4</f>
        <v/>
      </c>
      <c r="D58" s="4">
        <f>'Field 55'!$O$5</f>
        <v/>
      </c>
      <c r="E58" s="4">
        <f>'Field 55'!$O$6</f>
        <v/>
      </c>
      <c r="F58" s="5">
        <f>'Field 55'!$O$7</f>
        <v/>
      </c>
      <c r="G58" s="5">
        <f>'Field 55'!$O$8</f>
        <v/>
      </c>
      <c r="H58" s="5">
        <f>'Field 55'!$O$9</f>
        <v/>
      </c>
    </row>
    <row r="59" ht="15.6" customHeight="1">
      <c r="A59" s="3" t="inlineStr">
        <is>
          <t>measurements / property_measurement_size_uom</t>
        </is>
      </c>
      <c r="B59" s="4">
        <f>'Field 56'!$O$3</f>
        <v/>
      </c>
      <c r="C59" s="4">
        <f>'Field 56'!$O$4</f>
        <v/>
      </c>
      <c r="D59" s="4">
        <f>'Field 56'!$O$5</f>
        <v/>
      </c>
      <c r="E59" s="4">
        <f>'Field 56'!$O$6</f>
        <v/>
      </c>
      <c r="F59" s="5">
        <f>'Field 56'!$O$7</f>
        <v/>
      </c>
      <c r="G59" s="5">
        <f>'Field 56'!$O$8</f>
        <v/>
      </c>
      <c r="H59" s="5">
        <f>'Field 56'!$O$9</f>
        <v/>
      </c>
    </row>
    <row r="60" ht="15.6" customHeight="1">
      <c r="A60" s="3" t="inlineStr">
        <is>
          <t>parking / number_parking_space</t>
        </is>
      </c>
      <c r="B60" s="4">
        <f>'Field 57'!$O$3</f>
        <v/>
      </c>
      <c r="C60" s="4">
        <f>'Field 57'!$O$4</f>
        <v/>
      </c>
      <c r="D60" s="4">
        <f>'Field 57'!$O$5</f>
        <v/>
      </c>
      <c r="E60" s="4">
        <f>'Field 57'!$O$6</f>
        <v/>
      </c>
      <c r="F60" s="5">
        <f>'Field 57'!$O$7</f>
        <v/>
      </c>
      <c r="G60" s="5">
        <f>'Field 57'!$O$8</f>
        <v/>
      </c>
      <c r="H60" s="5">
        <f>'Field 57'!$O$9</f>
        <v/>
      </c>
    </row>
    <row r="61" ht="15.6" customHeight="1">
      <c r="A61" s="3" t="inlineStr">
        <is>
          <t>parking / parking_comments</t>
        </is>
      </c>
      <c r="B61" s="4">
        <f>'Field 58'!$O$3</f>
        <v/>
      </c>
      <c r="C61" s="4">
        <f>'Field 58'!$O$4</f>
        <v/>
      </c>
      <c r="D61" s="4">
        <f>'Field 58'!$O$5</f>
        <v/>
      </c>
      <c r="E61" s="4">
        <f>'Field 58'!$O$6</f>
        <v/>
      </c>
      <c r="F61" s="5">
        <f>'Field 58'!$O$7</f>
        <v/>
      </c>
      <c r="G61" s="5">
        <f>'Field 58'!$O$8</f>
        <v/>
      </c>
      <c r="H61" s="5">
        <f>'Field 58'!$O$9</f>
        <v/>
      </c>
    </row>
    <row r="62" ht="15.6" customHeight="1">
      <c r="A62" s="3" t="inlineStr">
        <is>
          <t>parking / parking_cost_monthly</t>
        </is>
      </c>
      <c r="B62" s="4">
        <f>'Field 59'!$O$3</f>
        <v/>
      </c>
      <c r="C62" s="4">
        <f>'Field 59'!$O$4</f>
        <v/>
      </c>
      <c r="D62" s="4">
        <f>'Field 59'!$O$5</f>
        <v/>
      </c>
      <c r="E62" s="4">
        <f>'Field 59'!$O$6</f>
        <v/>
      </c>
      <c r="F62" s="5">
        <f>'Field 59'!$O$7</f>
        <v/>
      </c>
      <c r="G62" s="5">
        <f>'Field 59'!$O$8</f>
        <v/>
      </c>
      <c r="H62" s="5">
        <f>'Field 59'!$O$9</f>
        <v/>
      </c>
    </row>
    <row r="63" ht="15.6" customHeight="1">
      <c r="A63" s="3" t="inlineStr">
        <is>
          <t>parking / parking_cost_monthly_uom</t>
        </is>
      </c>
      <c r="B63" s="4">
        <f>'Field 60'!$O$3</f>
        <v/>
      </c>
      <c r="C63" s="4">
        <f>'Field 60'!$O$4</f>
        <v/>
      </c>
      <c r="D63" s="4">
        <f>'Field 60'!$O$5</f>
        <v/>
      </c>
      <c r="E63" s="4">
        <f>'Field 60'!$O$6</f>
        <v/>
      </c>
      <c r="F63" s="5">
        <f>'Field 60'!$O$7</f>
        <v/>
      </c>
      <c r="G63" s="5">
        <f>'Field 60'!$O$8</f>
        <v/>
      </c>
      <c r="H63" s="5">
        <f>'Field 60'!$O$9</f>
        <v/>
      </c>
    </row>
    <row r="64" ht="15.6" customHeight="1">
      <c r="A64" s="3" t="inlineStr">
        <is>
          <t>parking / parking_cost_yearly</t>
        </is>
      </c>
      <c r="B64" s="4">
        <f>'Field 61'!$O$3</f>
        <v/>
      </c>
      <c r="C64" s="4">
        <f>'Field 61'!$O$4</f>
        <v/>
      </c>
      <c r="D64" s="4">
        <f>'Field 61'!$O$5</f>
        <v/>
      </c>
      <c r="E64" s="4">
        <f>'Field 61'!$O$6</f>
        <v/>
      </c>
      <c r="F64" s="5">
        <f>'Field 61'!$O$7</f>
        <v/>
      </c>
      <c r="G64" s="5">
        <f>'Field 61'!$O$8</f>
        <v/>
      </c>
      <c r="H64" s="5">
        <f>'Field 61'!$O$9</f>
        <v/>
      </c>
    </row>
    <row r="65" ht="15.6" customHeight="1">
      <c r="A65" s="3" t="inlineStr">
        <is>
          <t>parking / parking_cost_yearly_uom</t>
        </is>
      </c>
      <c r="B65" s="4">
        <f>'Field 62'!$O$3</f>
        <v/>
      </c>
      <c r="C65" s="4">
        <f>'Field 62'!$O$4</f>
        <v/>
      </c>
      <c r="D65" s="4">
        <f>'Field 62'!$O$5</f>
        <v/>
      </c>
      <c r="E65" s="4">
        <f>'Field 62'!$O$6</f>
        <v/>
      </c>
      <c r="F65" s="5">
        <f>'Field 62'!$O$7</f>
        <v/>
      </c>
      <c r="G65" s="5">
        <f>'Field 62'!$O$8</f>
        <v/>
      </c>
      <c r="H65" s="5">
        <f>'Field 62'!$O$9</f>
        <v/>
      </c>
    </row>
    <row r="66" ht="15.6" customHeight="1">
      <c r="A66" s="3" t="inlineStr">
        <is>
          <t>parking / parking_sub_type_desc</t>
        </is>
      </c>
      <c r="B66" s="4">
        <f>'Field 63'!$O$3</f>
        <v/>
      </c>
      <c r="C66" s="4">
        <f>'Field 63'!$O$4</f>
        <v/>
      </c>
      <c r="D66" s="4">
        <f>'Field 63'!$O$5</f>
        <v/>
      </c>
      <c r="E66" s="4">
        <f>'Field 63'!$O$6</f>
        <v/>
      </c>
      <c r="F66" s="5">
        <f>'Field 63'!$O$7</f>
        <v/>
      </c>
      <c r="G66" s="5">
        <f>'Field 63'!$O$8</f>
        <v/>
      </c>
      <c r="H66" s="5">
        <f>'Field 63'!$O$9</f>
        <v/>
      </c>
    </row>
    <row r="67" ht="15.6" customHeight="1">
      <c r="A67" s="3" t="inlineStr">
        <is>
          <t>parking / parking_type_desc</t>
        </is>
      </c>
      <c r="B67" s="4">
        <f>'Field 64'!$O$3</f>
        <v/>
      </c>
      <c r="C67" s="4">
        <f>'Field 64'!$O$4</f>
        <v/>
      </c>
      <c r="D67" s="4">
        <f>'Field 64'!$O$5</f>
        <v/>
      </c>
      <c r="E67" s="4">
        <f>'Field 64'!$O$6</f>
        <v/>
      </c>
      <c r="F67" s="5">
        <f>'Field 64'!$O$7</f>
        <v/>
      </c>
      <c r="G67" s="5">
        <f>'Field 64'!$O$8</f>
        <v/>
      </c>
      <c r="H67" s="5">
        <f>'Field 64'!$O$9</f>
        <v/>
      </c>
    </row>
  </sheetData>
  <hyperlinks>
    <hyperlink ref="A4" location="'Field 1'!A1" display="Companies / company_name"/>
    <hyperlink ref="A5" location="'Field 2'!A1" display="Companies / role_desc"/>
    <hyperlink ref="A6" location="'Field 3'!A1" display="Lease_Comp_Details / act_1954_f"/>
    <hyperlink ref="A7" location="'Field 4'!A1" display="Lease_Comp_Details / arrangement_end_action_status_reason_type_desc"/>
    <hyperlink ref="A8" location="'Field 5'!A1" display="Lease_Comp_Details / arrangement_end_action_status_type_desc"/>
    <hyperlink ref="A9" location="'Field 6'!A1" display="Lease_Comp_Details / arrangement_end_future_action_date"/>
    <hyperlink ref="A10" location="'Field 7'!A1" display="Lease_Comp_Details / arrangement_end_future_action_type_desc"/>
    <hyperlink ref="A11" location="'Field 8'!A1" display="Lease_Comp_Details / lease_arrangement_reason_type_desc"/>
    <hyperlink ref="A12" location="'Field 9'!A1" display="Lease_Comp_Details / ref_lease_activity_type_desc"/>
    <hyperlink ref="A13" location="'Field 10'!A1" display="Lease_Comp_Details / ref_lease_arrangement_type_desc"/>
    <hyperlink ref="A14" location="'Field 11'!A1" display="Lease_Comp_Details / ref_total_leased_space_uom_desc"/>
    <hyperlink ref="A15" location="'Field 12'!A1" display="Lease_Comp_Details / space_condition_type_desc"/>
    <hyperlink ref="A16" location="'Field 13'!A1" display="Lease_Comp_Details / sublease_f"/>
    <hyperlink ref="A17" location="'Field 14'!A1" display="Lease_Comp_Details / tenant_status_type_desc"/>
    <hyperlink ref="A18" location="'Field 15'!A1" display="Lease_Comp_Details / total_leased_space"/>
    <hyperlink ref="A19" location="'Field 16'!A1" display="Lease_Comp_Details / total_leased_space_estimated_f"/>
    <hyperlink ref="A20" location="'Field 17'!A1" display="Property / property_name"/>
    <hyperlink ref="A21" location="'Field 18'!A1" display="Terms / Arrangement_End_Date"/>
    <hyperlink ref="A22" location="'Field 19'!A1" display="Terms / Arrangement_Signed_Date"/>
    <hyperlink ref="A23" location="'Field 20'!A1" display="Terms / Arrangement_Start_Date"/>
    <hyperlink ref="A24" location="'Field 21'!A1" display="Terms / Asking_Rent_Monthly"/>
    <hyperlink ref="A25" location="'Field 22'!A1" display="Terms / Asking_Rent_Yearly"/>
    <hyperlink ref="A26" location="'Field 23'!A1" display="Terms / Cost_per_Reserved_Parking_Space"/>
    <hyperlink ref="A27" location="'Field 24'!A1" display="Terms / Effective_Rent_Monthly"/>
    <hyperlink ref="A28" location="'Field 25'!A1" display="Terms / Effective_Rent_Yearly"/>
    <hyperlink ref="A29" location="'Field 26'!A1" display="Terms / Lease_Term"/>
    <hyperlink ref="A30" location="'Field 27'!A1" display="Terms / Number_Of_Month_Free_Rent"/>
    <hyperlink ref="A31" location="'Field 28'!A1" display="Terms / Occupancy_Date"/>
    <hyperlink ref="A32" location="'Field 29'!A1" display="Terms / Option_Notes"/>
    <hyperlink ref="A33" location="'Field 30'!A1" display="Terms / Ref_asking_rent_monthly_uom_desc"/>
    <hyperlink ref="A34" location="'Field 31'!A1" display="Terms / Ref_asking_rent_yearly_uom_desc"/>
    <hyperlink ref="A35" location="'Field 32'!A1" display="Terms / Ref_cost_per_reserved_parking_space_uom_desc"/>
    <hyperlink ref="A36" location="'Field 33'!A1" display="Terms / Ref_effective_rent_monthly_uom_desc"/>
    <hyperlink ref="A37" location="'Field 34'!A1" display="Terms / Ref_effective_rent_yearly_uom_desc"/>
    <hyperlink ref="A38" location="'Field 35'!A1" display="Terms / Ref_lease_term_uom_desc"/>
    <hyperlink ref="A39" location="'Field 36'!A1" display="Terms / Ref_service_charge_per_area_value_price_uom_desc"/>
    <hyperlink ref="A40" location="'Field 37'!A1" display="Terms / Ref_tenant_improvement_allowance_uom_desc"/>
    <hyperlink ref="A41" location="'Field 38'!A1" display="Terms / Reserved_Parking_Spaces"/>
    <hyperlink ref="A42" location="'Field 39'!A1" display="Terms / Service_Charge_Per_Area_Value"/>
    <hyperlink ref="A43" location="'Field 40'!A1" display="Terms / Tenant_Improvement_Allowance"/>
    <hyperlink ref="A44" location="'Field 41'!A1" display="floor_suite / arrangement_space_area"/>
    <hyperlink ref="A45" location="'Field 42'!A1" display="floor_suite / floor_number"/>
    <hyperlink ref="A46" location="'Field 43'!A1" display="floor_suite / full_floor_f"/>
    <hyperlink ref="A47" location="'Field 44'!A1" display="floor_suite / ref_arrangement_space_area_uom_desc"/>
    <hyperlink ref="A48" location="'Field 45'!A1" display="floor_suite / suite_number"/>
    <hyperlink ref="A49" location="'Field 46'!A1" display="floor_suite / tenancy_status_desc"/>
    <hyperlink ref="A50" location="'Field 47'!A1" display="floor_suite / tenancy_status_reason_desc"/>
    <hyperlink ref="A51" location="'Field 48'!A1" display="floor_suite / tenancy_status_reason_notes"/>
    <hyperlink ref="A52" location="'Field 49'!A1" display="lease_break / arrangement_option_executor_type_desc"/>
    <hyperlink ref="A53" location="'Field 50'!A1" display="lease_break / arrangement_option_start_date"/>
    <hyperlink ref="A54" location="'Field 51'!A1" display="measurements / asking_rent_yearly"/>
    <hyperlink ref="A55" location="'Field 52'!A1" display="measurements / asking_rent_yearly_uom"/>
    <hyperlink ref="A56" location="'Field 53'!A1" display="measurements / property_element_type_desc"/>
    <hyperlink ref="A57" location="'Field 54'!A1" display="measurements / property_measurement_notes"/>
    <hyperlink ref="A58" location="'Field 55'!A1" display="measurements / property_measurement_size"/>
    <hyperlink ref="A59" location="'Field 56'!A1" display="measurements / property_measurement_size_uom"/>
    <hyperlink ref="A60" location="'Field 57'!A1" display="parking / number_parking_space"/>
    <hyperlink ref="A61" location="'Field 58'!A1" display="parking / parking_comments"/>
    <hyperlink ref="A62" location="'Field 59'!A1" display="parking / parking_cost_monthly"/>
    <hyperlink ref="A63" location="'Field 60'!A1" display="parking / parking_cost_monthly_uom"/>
    <hyperlink ref="A64" location="'Field 61'!A1" display="parking / parking_cost_yearly"/>
    <hyperlink ref="A65" location="'Field 62'!A1" display="parking / parking_cost_yearly_uom"/>
    <hyperlink ref="A66" location="'Field 63'!A1" display="parking / parking_sub_type_desc"/>
    <hyperlink ref="A67" location="'Field 64'!A1" display="parking / parking_type_desc"/>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4.4"/>
  <cols>
    <col width="34" customWidth="1" min="1" max="1"/>
    <col width="46" customWidth="1" min="2" max="2"/>
  </cols>
  <sheetData>
    <row r="1" ht="18" customHeight="1">
      <c r="A1" s="1" t="inlineStr">
        <is>
          <t>Token Consumption Summary</t>
        </is>
      </c>
    </row>
    <row r="3">
      <c r="A3" s="2" t="inlineStr">
        <is>
          <t>Metric</t>
        </is>
      </c>
      <c r="B3" s="2" t="inlineStr">
        <is>
          <t>Value</t>
        </is>
      </c>
    </row>
    <row r="4">
      <c r="A4" s="6" t="inlineStr">
        <is>
          <t>Run ID</t>
        </is>
      </c>
      <c r="B4" s="6" t="inlineStr">
        <is>
          <t>abstract-method-2-20261007-152636</t>
        </is>
      </c>
    </row>
    <row r="5">
      <c r="A5" s="6" t="inlineStr">
        <is>
          <t>Flow</t>
        </is>
      </c>
      <c r="B5" s="6" t="inlineStr">
        <is>
          <t>abstract</t>
        </is>
      </c>
    </row>
    <row r="6">
      <c r="A6" s="6" t="inlineStr">
        <is>
          <t>Total Documents</t>
        </is>
      </c>
      <c r="B6" s="7" t="n">
        <v>35</v>
      </c>
    </row>
    <row r="7">
      <c r="A7" s="6" t="inlineStr">
        <is>
          <t>Documents With Token Data</t>
        </is>
      </c>
      <c r="B7" s="7" t="n">
        <v>35</v>
      </c>
    </row>
    <row r="8">
      <c r="A8" s="6" t="inlineStr">
        <is>
          <t>Total Unique Fields</t>
        </is>
      </c>
      <c r="B8" s="7" t="n">
        <v>64</v>
      </c>
    </row>
    <row r="9">
      <c r="A9" s="6" t="inlineStr">
        <is>
          <t>Total LLM Tokens</t>
        </is>
      </c>
      <c r="B9" s="7" t="n">
        <v>52142171</v>
      </c>
    </row>
    <row r="10">
      <c r="A10" s="6" t="inlineStr">
        <is>
          <t>Total Embedding Tokens</t>
        </is>
      </c>
      <c r="B10" s="7" t="n">
        <v>6836420</v>
      </c>
    </row>
    <row r="11">
      <c r="A11" s="6" t="inlineStr">
        <is>
          <t>Total Tokens</t>
        </is>
      </c>
      <c r="B11" s="7" t="n">
        <v>58978591</v>
      </c>
    </row>
    <row r="12">
      <c r="A12" s="6" t="inlineStr">
        <is>
          <t>Total API Calls</t>
        </is>
      </c>
      <c r="B12" s="7" t="n">
        <v>2905</v>
      </c>
    </row>
    <row r="13">
      <c r="A13" s="6" t="inlineStr">
        <is>
          <t>Total Cost (USD)</t>
        </is>
      </c>
      <c r="B13" s="8" t="n">
        <v>41.67433604</v>
      </c>
    </row>
    <row r="14">
      <c r="A14" s="6" t="inlineStr">
        <is>
          <t>Avg Cost / Document (USD)</t>
        </is>
      </c>
      <c r="B14" s="8" t="n">
        <v>1.190695315428571</v>
      </c>
    </row>
    <row r="15">
      <c r="A15" s="6" t="inlineStr">
        <is>
          <t>Avg Tokens / Document</t>
        </is>
      </c>
      <c r="B15" s="7" t="n">
        <v>1685103</v>
      </c>
    </row>
    <row r="16">
      <c r="A16" s="6" t="inlineStr">
        <is>
          <t>Unpriced Models</t>
        </is>
      </c>
      <c r="B16" s="6"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pane ySplit="3" topLeftCell="A4" activePane="bottomLeft" state="frozen"/>
      <selection pane="bottomLeft" activeCell="A1" sqref="A1"/>
    </sheetView>
  </sheetViews>
  <sheetFormatPr baseColWidth="8" defaultRowHeight="14.4"/>
  <cols>
    <col width="42" customWidth="1" min="1" max="1"/>
    <col width="16" customWidth="1" min="2" max="15"/>
  </cols>
  <sheetData>
    <row r="1" ht="18" customHeight="1">
      <c r="A1" s="1" t="inlineStr">
        <is>
          <t>Token Consumption by Model</t>
        </is>
      </c>
    </row>
    <row r="3">
      <c r="A3" s="2" t="inlineStr">
        <is>
          <t>Model</t>
        </is>
      </c>
      <c r="B3" s="2" t="inlineStr">
        <is>
          <t>Type</t>
        </is>
      </c>
      <c r="C3" s="2" t="inlineStr">
        <is>
          <t>Calls</t>
        </is>
      </c>
      <c r="D3" s="2" t="inlineStr">
        <is>
          <t>Prompt Tokens</t>
        </is>
      </c>
      <c r="E3" s="2" t="inlineStr">
        <is>
          <t>Cached Tokens</t>
        </is>
      </c>
      <c r="F3" s="2" t="inlineStr">
        <is>
          <t>Completion Tokens</t>
        </is>
      </c>
      <c r="G3" s="2" t="inlineStr">
        <is>
          <t>Thought Tokens</t>
        </is>
      </c>
      <c r="H3" s="2" t="inlineStr">
        <is>
          <t>Embedding Tokens</t>
        </is>
      </c>
      <c r="I3" s="2" t="inlineStr">
        <is>
          <t>Total Tokens</t>
        </is>
      </c>
      <c r="J3" s="2" t="inlineStr">
        <is>
          <t>Prompt USD/M</t>
        </is>
      </c>
      <c r="K3" s="2" t="inlineStr">
        <is>
          <t>Cached USD/M</t>
        </is>
      </c>
      <c r="L3" s="2" t="inlineStr">
        <is>
          <t>Completion USD/M</t>
        </is>
      </c>
      <c r="M3" s="2" t="inlineStr">
        <is>
          <t>Thoughts USD/M</t>
        </is>
      </c>
      <c r="N3" s="2" t="inlineStr">
        <is>
          <t>Embedding USD/M</t>
        </is>
      </c>
      <c r="O3" s="2" t="inlineStr">
        <is>
          <t>Cost (USD)</t>
        </is>
      </c>
    </row>
    <row r="4">
      <c r="A4" s="6" t="inlineStr">
        <is>
          <t>gemini-2.5-flash</t>
        </is>
      </c>
      <c r="B4" s="6" t="inlineStr">
        <is>
          <t>LLM</t>
        </is>
      </c>
      <c r="C4" s="7" t="n">
        <v>1190</v>
      </c>
      <c r="D4" s="7" t="n">
        <v>22229725</v>
      </c>
      <c r="E4" s="7" t="n">
        <v>1931128</v>
      </c>
      <c r="F4" s="7" t="n">
        <v>800801</v>
      </c>
      <c r="G4" s="7" t="n">
        <v>0</v>
      </c>
      <c r="H4" s="7" t="n">
        <v>0</v>
      </c>
      <c r="I4" s="7" t="n">
        <v>23030526</v>
      </c>
      <c r="J4" s="9" t="n">
        <v>0.3</v>
      </c>
      <c r="K4" s="9" t="n">
        <v>0.03</v>
      </c>
      <c r="L4" s="9" t="n">
        <v>2.5</v>
      </c>
      <c r="M4" s="9" t="n">
        <v>2.5</v>
      </c>
      <c r="N4" s="6" t="inlineStr">
        <is>
          <t>-</t>
        </is>
      </c>
      <c r="O4" s="8" t="n">
        <v>8.14951544</v>
      </c>
    </row>
    <row r="5">
      <c r="A5" s="6" t="inlineStr">
        <is>
          <t>gpt-4.1</t>
        </is>
      </c>
      <c r="B5" s="6" t="inlineStr">
        <is>
          <t>LLM</t>
        </is>
      </c>
      <c r="C5" s="7" t="n">
        <v>1715</v>
      </c>
      <c r="D5" s="7" t="n">
        <v>28903603</v>
      </c>
      <c r="E5" s="7" t="n">
        <v>17890304</v>
      </c>
      <c r="F5" s="7" t="n">
        <v>208042</v>
      </c>
      <c r="G5" s="7" t="n">
        <v>0</v>
      </c>
      <c r="H5" s="7" t="n">
        <v>0</v>
      </c>
      <c r="I5" s="7" t="n">
        <v>29111645</v>
      </c>
      <c r="J5" s="9" t="n">
        <v>2</v>
      </c>
      <c r="K5" s="9" t="n">
        <v>0.5</v>
      </c>
      <c r="L5" s="9" t="n">
        <v>8</v>
      </c>
      <c r="M5" s="9" t="n">
        <v>0</v>
      </c>
      <c r="N5" s="6" t="inlineStr">
        <is>
          <t>-</t>
        </is>
      </c>
      <c r="O5" s="8" t="n">
        <v>32.636086</v>
      </c>
    </row>
    <row r="6">
      <c r="A6" s="6" t="inlineStr">
        <is>
          <t>text-embedding-3-large</t>
        </is>
      </c>
      <c r="B6" s="6" t="inlineStr">
        <is>
          <t>Embedding</t>
        </is>
      </c>
      <c r="C6" s="7" t="n">
        <v>0</v>
      </c>
      <c r="D6" s="7" t="n">
        <v>0</v>
      </c>
      <c r="E6" s="7" t="n">
        <v>0</v>
      </c>
      <c r="F6" s="7" t="n">
        <v>0</v>
      </c>
      <c r="G6" s="7" t="n">
        <v>0</v>
      </c>
      <c r="H6" s="7" t="n">
        <v>6836420</v>
      </c>
      <c r="I6" s="7" t="n">
        <v>6836420</v>
      </c>
      <c r="J6" s="6" t="inlineStr">
        <is>
          <t>-</t>
        </is>
      </c>
      <c r="K6" s="6" t="inlineStr">
        <is>
          <t>-</t>
        </is>
      </c>
      <c r="L6" s="6" t="inlineStr">
        <is>
          <t>-</t>
        </is>
      </c>
      <c r="M6" s="6" t="inlineStr">
        <is>
          <t>-</t>
        </is>
      </c>
      <c r="N6" s="9" t="n">
        <v>0.13</v>
      </c>
      <c r="O6" s="8" t="n">
        <v>0.8887346</v>
      </c>
    </row>
    <row r="7">
      <c r="A7" s="10" t="inlineStr">
        <is>
          <t>TOTAL</t>
        </is>
      </c>
      <c r="B7" s="6" t="n"/>
      <c r="C7" s="11" t="n">
        <v>2905</v>
      </c>
      <c r="D7" s="11" t="n">
        <v>51133328</v>
      </c>
      <c r="E7" s="11" t="n">
        <v>19821432</v>
      </c>
      <c r="F7" s="11" t="n">
        <v>1008843</v>
      </c>
      <c r="G7" s="11" t="n">
        <v>0</v>
      </c>
      <c r="H7" s="11" t="n">
        <v>6836420</v>
      </c>
      <c r="I7" s="11" t="n">
        <v>58978591</v>
      </c>
      <c r="J7" s="6" t="n"/>
      <c r="K7" s="6" t="n"/>
      <c r="L7" s="6" t="n"/>
      <c r="M7" s="6" t="n"/>
      <c r="N7" s="6" t="n"/>
      <c r="O7" s="12" t="n">
        <v>41.67433604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pane ySplit="3" topLeftCell="A4" activePane="bottomLeft" state="frozen"/>
      <selection pane="bottomLeft" activeCell="A1" sqref="A1"/>
    </sheetView>
  </sheetViews>
  <sheetFormatPr baseColWidth="8" defaultRowHeight="14.4"/>
  <cols>
    <col width="52" customWidth="1" min="1" max="1"/>
    <col width="18" customWidth="1" min="2" max="7"/>
  </cols>
  <sheetData>
    <row r="1" ht="18" customHeight="1">
      <c r="A1" s="1" t="inlineStr">
        <is>
          <t>Token Consumption by Document</t>
        </is>
      </c>
    </row>
    <row r="3">
      <c r="A3" s="2" t="inlineStr">
        <is>
          <t>Document</t>
        </is>
      </c>
      <c r="B3" s="2" t="inlineStr">
        <is>
          <t>Fields Extracted</t>
        </is>
      </c>
      <c r="C3" s="2" t="inlineStr">
        <is>
          <t>API Calls</t>
        </is>
      </c>
      <c r="D3" s="2" t="inlineStr">
        <is>
          <t>LLM Tokens</t>
        </is>
      </c>
      <c r="E3" s="2" t="inlineStr">
        <is>
          <t>Embedding Tokens</t>
        </is>
      </c>
      <c r="F3" s="2" t="inlineStr">
        <is>
          <t>Total Tokens</t>
        </is>
      </c>
      <c r="G3" s="2" t="inlineStr">
        <is>
          <t>Cost (USD)</t>
        </is>
      </c>
    </row>
    <row r="4">
      <c r="A4" s="6" t="inlineStr">
        <is>
          <t>20181204 Huurovereenkomst (GETEKEND).PDF</t>
        </is>
      </c>
      <c r="B4" s="7" t="n">
        <v>49</v>
      </c>
      <c r="C4" s="7" t="n">
        <v>83</v>
      </c>
      <c r="D4" s="7" t="n">
        <v>834470</v>
      </c>
      <c r="E4" s="7" t="n">
        <v>52240</v>
      </c>
      <c r="F4" s="7" t="n">
        <v>886710</v>
      </c>
      <c r="G4" s="8" t="n">
        <v>0.73602885</v>
      </c>
    </row>
    <row r="5">
      <c r="A5" s="6" t="inlineStr">
        <is>
          <t>2024.10.30_Office Rental Agreement Labs_Gruyter Fabriek.pdf</t>
        </is>
      </c>
      <c r="B5" s="7" t="n">
        <v>50</v>
      </c>
      <c r="C5" s="7" t="n">
        <v>83</v>
      </c>
      <c r="D5" s="7" t="n">
        <v>1547491</v>
      </c>
      <c r="E5" s="7" t="n">
        <v>172100</v>
      </c>
      <c r="F5" s="7" t="n">
        <v>1719591</v>
      </c>
      <c r="G5" s="8" t="n">
        <v>1.15087598</v>
      </c>
    </row>
    <row r="6">
      <c r="A6" s="6" t="inlineStr">
        <is>
          <t>20240606_HOK AKD - EDGE Eindhoven execution version.pdf</t>
        </is>
      </c>
      <c r="B6" s="7" t="n">
        <v>61</v>
      </c>
      <c r="C6" s="7" t="n">
        <v>83</v>
      </c>
      <c r="D6" s="7" t="n">
        <v>1156274</v>
      </c>
      <c r="E6" s="7" t="n">
        <v>81945</v>
      </c>
      <c r="F6" s="7" t="n">
        <v>1238219</v>
      </c>
      <c r="G6" s="8" t="n">
        <v>1.04047081</v>
      </c>
    </row>
    <row r="7">
      <c r="A7" s="6" t="inlineStr">
        <is>
          <t>20250117_HOK Duke Strategies - Hambaken A.05.09 DEF FULLY SIGNED.pdf</t>
        </is>
      </c>
      <c r="B7" s="7" t="n">
        <v>59</v>
      </c>
      <c r="C7" s="7" t="n">
        <v>83</v>
      </c>
      <c r="D7" s="7" t="n">
        <v>755829</v>
      </c>
      <c r="E7" s="7" t="n">
        <v>43825</v>
      </c>
      <c r="F7" s="7" t="n">
        <v>799654</v>
      </c>
      <c r="G7" s="8" t="n">
        <v>0.68759779</v>
      </c>
    </row>
    <row r="8">
      <c r="A8" s="6" t="inlineStr">
        <is>
          <t>20251216 Lease agreement ASPEN - signed.pdf</t>
        </is>
      </c>
      <c r="B8" s="7" t="n">
        <v>47</v>
      </c>
      <c r="C8" s="7" t="n">
        <v>83</v>
      </c>
      <c r="D8" s="7" t="n">
        <v>2318729</v>
      </c>
      <c r="E8" s="7" t="n">
        <v>809225</v>
      </c>
      <c r="F8" s="7" t="n">
        <v>3127954</v>
      </c>
      <c r="G8" s="8" t="n">
        <v>1.66031548</v>
      </c>
    </row>
    <row r="9">
      <c r="A9" s="6" t="inlineStr">
        <is>
          <t>20260220 Huurovereenkomst signed 20-02-2026.pdf</t>
        </is>
      </c>
      <c r="B9" s="7" t="n">
        <v>61</v>
      </c>
      <c r="C9" s="7" t="n">
        <v>83</v>
      </c>
      <c r="D9" s="7" t="n">
        <v>1419257</v>
      </c>
      <c r="E9" s="7" t="n">
        <v>176110</v>
      </c>
      <c r="F9" s="7" t="n">
        <v>1595367</v>
      </c>
      <c r="G9" s="8" t="n">
        <v>1.15571771</v>
      </c>
    </row>
    <row r="10">
      <c r="A10" s="6" t="inlineStr">
        <is>
          <t>20260629 HOK ADHDcentraal BV (1).pdf</t>
        </is>
      </c>
      <c r="B10" s="7" t="n">
        <v>60</v>
      </c>
      <c r="C10" s="7" t="n">
        <v>83</v>
      </c>
      <c r="D10" s="7" t="n">
        <v>1658829</v>
      </c>
      <c r="E10" s="7" t="n">
        <v>205635</v>
      </c>
      <c r="F10" s="7" t="n">
        <v>1864464</v>
      </c>
      <c r="G10" s="8" t="n">
        <v>1.30637452</v>
      </c>
    </row>
    <row r="11">
      <c r="A11" s="6" t="inlineStr">
        <is>
          <t>20260807_Happy_Village_B.V._Lease_Maasstadweg_tekenversie_incl._bijlagen en-GB.pdf</t>
        </is>
      </c>
      <c r="B11" s="7" t="n">
        <v>52</v>
      </c>
      <c r="C11" s="7" t="n">
        <v>83</v>
      </c>
      <c r="D11" s="7" t="n">
        <v>1888487</v>
      </c>
      <c r="E11" s="7" t="n">
        <v>224065</v>
      </c>
      <c r="F11" s="7" t="n">
        <v>2112552</v>
      </c>
      <c r="G11" s="8" t="n">
        <v>1.5257897</v>
      </c>
    </row>
    <row r="12">
      <c r="A12" s="6" t="inlineStr">
        <is>
          <t>20260810 HOK ClustR BV.pdf</t>
        </is>
      </c>
      <c r="B12" s="7" t="n">
        <v>57</v>
      </c>
      <c r="C12" s="7" t="n">
        <v>83</v>
      </c>
      <c r="D12" s="7" t="n">
        <v>1518601</v>
      </c>
      <c r="E12" s="7" t="n">
        <v>205610</v>
      </c>
      <c r="F12" s="7" t="n">
        <v>1724211</v>
      </c>
      <c r="G12" s="8" t="n">
        <v>1.24137507</v>
      </c>
    </row>
    <row r="13">
      <c r="A13" s="6" t="inlineStr">
        <is>
          <t>20270801 - Getekende Allonge II Advario BV.pdf</t>
        </is>
      </c>
      <c r="B13" s="7" t="n">
        <v>56</v>
      </c>
      <c r="C13" s="7" t="n">
        <v>83</v>
      </c>
      <c r="D13" s="7" t="n">
        <v>932565</v>
      </c>
      <c r="E13" s="7" t="n">
        <v>73810</v>
      </c>
      <c r="F13" s="7" t="n">
        <v>1006375</v>
      </c>
      <c r="G13" s="8" t="n">
        <v>0.84872898</v>
      </c>
    </row>
    <row r="14">
      <c r="A14" s="6" t="inlineStr">
        <is>
          <t>240119 HOVK Spoorlaan 446-448 Tilburg signed.pdf</t>
        </is>
      </c>
      <c r="B14" s="7" t="n">
        <v>54</v>
      </c>
      <c r="C14" s="7" t="n">
        <v>83</v>
      </c>
      <c r="D14" s="7" t="n">
        <v>1401388</v>
      </c>
      <c r="E14" s="7" t="n">
        <v>154760</v>
      </c>
      <c r="F14" s="7" t="n">
        <v>1556148</v>
      </c>
      <c r="G14" s="8" t="n">
        <v>1.07875905</v>
      </c>
    </row>
    <row r="15">
      <c r="A15" s="6" t="inlineStr">
        <is>
          <t>27001 Rijksvastgoedbedrijf Huurovereenkomst - __27-01-2026_9-07-56.pdf</t>
        </is>
      </c>
      <c r="B15" s="7" t="n">
        <v>60</v>
      </c>
      <c r="C15" s="7" t="n">
        <v>83</v>
      </c>
      <c r="D15" s="7" t="n">
        <v>1396866</v>
      </c>
      <c r="E15" s="7" t="n">
        <v>122050</v>
      </c>
      <c r="F15" s="7" t="n">
        <v>1518916</v>
      </c>
      <c r="G15" s="8" t="n">
        <v>1.2680421</v>
      </c>
    </row>
    <row r="16">
      <c r="A16" s="6" t="inlineStr">
        <is>
          <t>CBRE_AT_Services_ENG_-_RITUALS_CBRE signed.pdf</t>
        </is>
      </c>
      <c r="B16" s="7" t="n">
        <v>30</v>
      </c>
      <c r="C16" s="7" t="n">
        <v>83</v>
      </c>
      <c r="D16" s="7" t="n">
        <v>1151472</v>
      </c>
      <c r="E16" s="7" t="n">
        <v>78310</v>
      </c>
      <c r="F16" s="7" t="n">
        <v>1229782</v>
      </c>
      <c r="G16" s="8" t="n">
        <v>0.95987069</v>
      </c>
    </row>
    <row r="17">
      <c r="A17" s="6" t="inlineStr">
        <is>
          <t>CBRE_Engagement_Letter_Alnylam_20260525_CLEAN_Version_signed all.pdf</t>
        </is>
      </c>
      <c r="B17" s="7" t="n">
        <v>30</v>
      </c>
      <c r="C17" s="7" t="n">
        <v>83</v>
      </c>
      <c r="D17" s="7" t="n">
        <v>870809</v>
      </c>
      <c r="E17" s="7" t="n">
        <v>50820</v>
      </c>
      <c r="F17" s="7" t="n">
        <v>921629</v>
      </c>
      <c r="G17" s="8" t="n">
        <v>0.7764151500000001</v>
      </c>
    </row>
    <row r="18">
      <c r="A18" s="6" t="inlineStr">
        <is>
          <t>COMPL DEF Huurovereenkomst - Skybox - Pepperl+Fuchs - 20260204.pdf</t>
        </is>
      </c>
      <c r="B18" s="7" t="n">
        <v>56</v>
      </c>
      <c r="C18" s="7" t="n">
        <v>83</v>
      </c>
      <c r="D18" s="7" t="n">
        <v>1721463</v>
      </c>
      <c r="E18" s="7" t="n">
        <v>217455</v>
      </c>
      <c r="F18" s="7" t="n">
        <v>1938918</v>
      </c>
      <c r="G18" s="8" t="n">
        <v>1.47230638</v>
      </c>
    </row>
    <row r="19">
      <c r="A19" s="6" t="inlineStr">
        <is>
          <t>COMPL Huurovereenkomst - Stichting CCE - Kantoorgebouw Metzpoint I Dr. Holtroplaan - Fully Signed.pdf</t>
        </is>
      </c>
      <c r="B19" s="7" t="n">
        <v>59</v>
      </c>
      <c r="C19" s="7" t="n">
        <v>83</v>
      </c>
      <c r="D19" s="7" t="n">
        <v>1910381</v>
      </c>
      <c r="E19" s="7" t="n">
        <v>233805</v>
      </c>
      <c r="F19" s="7" t="n">
        <v>2144186</v>
      </c>
      <c r="G19" s="8" t="n">
        <v>1.36853395</v>
      </c>
    </row>
    <row r="20">
      <c r="A20" s="6" t="inlineStr">
        <is>
          <t>COMPL Regel Partners - HOVK - Luchthavenweg 81 - 20260728.pdf</t>
        </is>
      </c>
      <c r="B20" s="7" t="n">
        <v>57</v>
      </c>
      <c r="C20" s="7" t="n">
        <v>83</v>
      </c>
      <c r="D20" s="7" t="n">
        <v>2138638</v>
      </c>
      <c r="E20" s="7" t="n">
        <v>383750</v>
      </c>
      <c r="F20" s="7" t="n">
        <v>2522388</v>
      </c>
      <c r="G20" s="8" t="n">
        <v>1.50633096</v>
      </c>
    </row>
    <row r="21">
      <c r="A21" s="6" t="inlineStr">
        <is>
          <t>COMPL_-_Onderhuurovereenkomst_Zelfstroom_B.V._-_50five_B.V._-_kantoorgebouw_Riva_-_05032026.pdf</t>
        </is>
      </c>
      <c r="B21" s="7" t="n">
        <v>57</v>
      </c>
      <c r="C21" s="7" t="n">
        <v>83</v>
      </c>
      <c r="D21" s="7" t="n">
        <v>2021055</v>
      </c>
      <c r="E21" s="7" t="n">
        <v>276990</v>
      </c>
      <c r="F21" s="7" t="n">
        <v>2298045</v>
      </c>
      <c r="G21" s="8" t="n">
        <v>1.47017532</v>
      </c>
    </row>
    <row r="22">
      <c r="A22" s="6" t="inlineStr">
        <is>
          <t>Den Bosch, Ruwekampweg 4, HOVK getekend.pdf</t>
        </is>
      </c>
      <c r="B22" s="7" t="n">
        <v>48</v>
      </c>
      <c r="C22" s="7" t="n">
        <v>83</v>
      </c>
      <c r="D22" s="7" t="n">
        <v>1510172</v>
      </c>
      <c r="E22" s="7" t="n">
        <v>175275</v>
      </c>
      <c r="F22" s="7" t="n">
        <v>1685447</v>
      </c>
      <c r="G22" s="8" t="n">
        <v>1.33217431</v>
      </c>
    </row>
    <row r="23">
      <c r="A23" s="6" t="inlineStr">
        <is>
          <t>FULLY SIGNED - COMPL Huurovereenkomst - Heijmans - Hugo de Grootlaan 23 's-Hertogenbosch V2 30-9-2025.pdf</t>
        </is>
      </c>
      <c r="B23" s="7" t="n">
        <v>57</v>
      </c>
      <c r="C23" s="7" t="n">
        <v>83</v>
      </c>
      <c r="D23" s="7" t="n">
        <v>1815945</v>
      </c>
      <c r="E23" s="7" t="n">
        <v>258845</v>
      </c>
      <c r="F23" s="7" t="n">
        <v>2074790</v>
      </c>
      <c r="G23" s="8" t="n">
        <v>1.35770993</v>
      </c>
    </row>
    <row r="24">
      <c r="A24" s="6" t="inlineStr">
        <is>
          <t>FULLY SIGNED - DEF_COMPL_Huurovereenkomst_Robo_Charge_-_Campus_Offices_-_20260220.pdf</t>
        </is>
      </c>
      <c r="B24" s="7" t="n">
        <v>60</v>
      </c>
      <c r="C24" s="7" t="n">
        <v>83</v>
      </c>
      <c r="D24" s="7" t="n">
        <v>1861174</v>
      </c>
      <c r="E24" s="7" t="n">
        <v>308290</v>
      </c>
      <c r="F24" s="7" t="n">
        <v>2169464</v>
      </c>
      <c r="G24" s="8" t="n">
        <v>1.54108916</v>
      </c>
    </row>
    <row r="25">
      <c r="A25" s="6" t="inlineStr">
        <is>
          <t>FULLY SIGNED - Onderhuurovereenkomst Aartshertogenlaan 223, `s-Hertogenbosch - Koning Willem I College B.V. 2606202.pdf</t>
        </is>
      </c>
      <c r="B25" s="7" t="n">
        <v>47</v>
      </c>
      <c r="C25" s="7" t="n">
        <v>83</v>
      </c>
      <c r="D25" s="7" t="n">
        <v>1910525</v>
      </c>
      <c r="E25" s="7" t="n">
        <v>241630</v>
      </c>
      <c r="F25" s="7" t="n">
        <v>2152155</v>
      </c>
      <c r="G25" s="8" t="n">
        <v>1.51236907</v>
      </c>
    </row>
    <row r="26">
      <c r="A26" s="6" t="inlineStr">
        <is>
          <t>FULLY SIGNED COMPL_DEF_Huurovereenkomst_Bond_Bergschot_Breda.pdf</t>
        </is>
      </c>
      <c r="B26" s="7" t="n">
        <v>60</v>
      </c>
      <c r="C26" s="7" t="n">
        <v>83</v>
      </c>
      <c r="D26" s="7" t="n">
        <v>2047672</v>
      </c>
      <c r="E26" s="7" t="n">
        <v>294315</v>
      </c>
      <c r="F26" s="7" t="n">
        <v>2341987</v>
      </c>
      <c r="G26" s="8" t="n">
        <v>1.43810519</v>
      </c>
    </row>
    <row r="27">
      <c r="A27" s="6" t="inlineStr">
        <is>
          <t>FullySigned_Allonge_II_Virtual_Vaults_Nederland.pdf</t>
        </is>
      </c>
      <c r="B27" s="7" t="n">
        <v>60</v>
      </c>
      <c r="C27" s="7" t="n">
        <v>83</v>
      </c>
      <c r="D27" s="7" t="n">
        <v>2560973</v>
      </c>
      <c r="E27" s="7" t="n">
        <v>406900</v>
      </c>
      <c r="F27" s="7" t="n">
        <v>2967873</v>
      </c>
      <c r="G27" s="8" t="n">
        <v>1.77110059</v>
      </c>
    </row>
    <row r="28">
      <c r="A28" s="6" t="inlineStr">
        <is>
          <t>FullySigned_Lease_Agreement_Neste_EDGE_Coolsingel.pdf</t>
        </is>
      </c>
      <c r="B28" s="7" t="n">
        <v>50</v>
      </c>
      <c r="C28" s="7" t="n">
        <v>83</v>
      </c>
      <c r="D28" s="7" t="n">
        <v>2089250</v>
      </c>
      <c r="E28" s="7" t="n">
        <v>403225</v>
      </c>
      <c r="F28" s="7" t="n">
        <v>2492475</v>
      </c>
      <c r="G28" s="8" t="n">
        <v>1.48289707</v>
      </c>
    </row>
    <row r="29">
      <c r="A29" s="6" t="inlineStr">
        <is>
          <t>HOK Waalhaven Group (signed).pdf</t>
        </is>
      </c>
      <c r="B29" s="7" t="n">
        <v>56</v>
      </c>
      <c r="C29" s="7" t="n">
        <v>83</v>
      </c>
      <c r="D29" s="7" t="n">
        <v>1882375</v>
      </c>
      <c r="E29" s="7" t="n">
        <v>272690</v>
      </c>
      <c r="F29" s="7" t="n">
        <v>2155065</v>
      </c>
      <c r="G29" s="8" t="n">
        <v>1.3415301</v>
      </c>
    </row>
    <row r="30">
      <c r="A30" s="6" t="inlineStr">
        <is>
          <t>HOVK Power4People 2025.pdf</t>
        </is>
      </c>
      <c r="B30" s="7" t="n">
        <v>54</v>
      </c>
      <c r="C30" s="7" t="n">
        <v>83</v>
      </c>
      <c r="D30" s="7" t="n">
        <v>286559</v>
      </c>
      <c r="E30" s="7" t="n">
        <v>5545</v>
      </c>
      <c r="F30" s="7" t="n">
        <v>292104</v>
      </c>
      <c r="G30" s="8" t="n">
        <v>0.40330325</v>
      </c>
    </row>
    <row r="31">
      <c r="A31" s="6" t="inlineStr">
        <is>
          <t>Hovk Avans  (3e+4e+5e verd.) 20140425.pdf</t>
        </is>
      </c>
      <c r="B31" s="7" t="n">
        <v>56</v>
      </c>
      <c r="C31" s="7" t="n">
        <v>83</v>
      </c>
      <c r="D31" s="7" t="n">
        <v>1006675</v>
      </c>
      <c r="E31" s="7" t="n">
        <v>84095</v>
      </c>
      <c r="F31" s="7" t="n">
        <v>1090770</v>
      </c>
      <c r="G31" s="8" t="n">
        <v>0.8607645700000001</v>
      </c>
    </row>
    <row r="32">
      <c r="A32" s="6" t="inlineStr">
        <is>
          <t>Huurovereenkomst (Semmie Group B.V.) - Wilhelminasingel 19, Breda.pdf</t>
        </is>
      </c>
      <c r="B32" s="7" t="n">
        <v>52</v>
      </c>
      <c r="C32" s="7" t="n">
        <v>83</v>
      </c>
      <c r="D32" s="7" t="n">
        <v>1643783</v>
      </c>
      <c r="E32" s="7" t="n">
        <v>163975</v>
      </c>
      <c r="F32" s="7" t="n">
        <v>1807758</v>
      </c>
      <c r="G32" s="8" t="n">
        <v>1.57322365</v>
      </c>
    </row>
    <row r="33">
      <c r="A33" s="6" t="inlineStr">
        <is>
          <t>Huurovereenkomst - proces-verbaal van oplevering - sleuteloverdracht - Kennedyplein 101 - getekend.pdf</t>
        </is>
      </c>
      <c r="B33" s="7" t="n">
        <v>47</v>
      </c>
      <c r="C33" s="7" t="n">
        <v>83</v>
      </c>
      <c r="D33" s="7" t="n">
        <v>2316621</v>
      </c>
      <c r="E33" s="7" t="n">
        <v>338420</v>
      </c>
      <c r="F33" s="7" t="n">
        <v>2655041</v>
      </c>
      <c r="G33" s="8" t="n">
        <v>1.7583134</v>
      </c>
    </row>
    <row r="34">
      <c r="A34" s="6" t="inlineStr">
        <is>
          <t>Huurovereenkomst Bijster 5 te Breda getekend.pdf</t>
        </is>
      </c>
      <c r="B34" s="7" t="n">
        <v>59</v>
      </c>
      <c r="C34" s="7" t="n">
        <v>83</v>
      </c>
      <c r="D34" s="7" t="n">
        <v>907472</v>
      </c>
      <c r="E34" s="7" t="n">
        <v>66395</v>
      </c>
      <c r="F34" s="7" t="n">
        <v>973867</v>
      </c>
      <c r="G34" s="8" t="n">
        <v>0.7959698100000001</v>
      </c>
    </row>
    <row r="35">
      <c r="A35" s="6" t="inlineStr">
        <is>
          <t>Huurovereenkomst Catena Pand Son - Skymark (Son en Breugel - NLD).pdf</t>
        </is>
      </c>
      <c r="B35" s="7" t="n">
        <v>38</v>
      </c>
      <c r="C35" s="7" t="n">
        <v>83</v>
      </c>
      <c r="D35" s="7" t="n">
        <v>645776</v>
      </c>
      <c r="E35" s="7" t="n">
        <v>33555</v>
      </c>
      <c r="F35" s="7" t="n">
        <v>679331</v>
      </c>
      <c r="G35" s="8" t="n">
        <v>0.66631308</v>
      </c>
    </row>
    <row r="36">
      <c r="A36" s="6" t="inlineStr">
        <is>
          <t>Huurovereenkomst KPN Opstelpunt Parallelweg 64 20130313.pdf</t>
        </is>
      </c>
      <c r="B36" s="7" t="n">
        <v>40</v>
      </c>
      <c r="C36" s="7" t="n">
        <v>83</v>
      </c>
      <c r="D36" s="7" t="n">
        <v>1056523</v>
      </c>
      <c r="E36" s="7" t="n">
        <v>82070</v>
      </c>
      <c r="F36" s="7" t="n">
        <v>1138593</v>
      </c>
      <c r="G36" s="8" t="n">
        <v>0.87996144</v>
      </c>
    </row>
    <row r="37">
      <c r="A37" s="6" t="inlineStr">
        <is>
          <t>Huurovereenkomst PBG Parallelweg 64 (beg.grond) 20121008.pdf</t>
        </is>
      </c>
      <c r="B37" s="7" t="n">
        <v>56</v>
      </c>
      <c r="C37" s="7" t="n">
        <v>83</v>
      </c>
      <c r="D37" s="7" t="n">
        <v>1077723</v>
      </c>
      <c r="E37" s="7" t="n">
        <v>89705</v>
      </c>
      <c r="F37" s="7" t="n">
        <v>1167428</v>
      </c>
      <c r="G37" s="8" t="n">
        <v>0.89246594</v>
      </c>
    </row>
    <row r="38">
      <c r="A38" s="6" t="inlineStr">
        <is>
          <t>MWO CBRE SPA (ITALY) CBRE_090724.pdf</t>
        </is>
      </c>
      <c r="B38" s="7" t="n">
        <v>25</v>
      </c>
      <c r="C38" s="7" t="n">
        <v>83</v>
      </c>
      <c r="D38" s="7" t="n">
        <v>880349</v>
      </c>
      <c r="E38" s="7" t="n">
        <v>48985</v>
      </c>
      <c r="F38" s="7" t="n">
        <v>929334</v>
      </c>
      <c r="G38" s="8" t="n">
        <v>0.81333699</v>
      </c>
    </row>
    <row r="39">
      <c r="A39" s="10" t="inlineStr">
        <is>
          <t>TOTAL</t>
        </is>
      </c>
      <c r="B39" s="11" t="n">
        <v>64</v>
      </c>
      <c r="C39" s="11" t="n">
        <v>2905</v>
      </c>
      <c r="D39" s="11" t="n">
        <v>52142171</v>
      </c>
      <c r="E39" s="11" t="n">
        <v>6836420</v>
      </c>
      <c r="F39" s="11" t="n">
        <v>58978591</v>
      </c>
      <c r="G39" s="12" t="n">
        <v>41.67433604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Herbax Novum B.V.</t>
        </is>
      </c>
      <c r="D2" s="14" t="n"/>
      <c r="E2" s="14" t="n"/>
      <c r="F2" s="14" t="n"/>
      <c r="G2" s="14" t="n"/>
      <c r="H2" s="14" t="n">
        <v>0.95</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N.V. Bossche Investerings-Maatschappij h.o.d.n. De Gruyter Fabriek</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EDGE TECHNOLOGIES DEVELOPMENT 1 B.V.</t>
        </is>
      </c>
      <c r="D4" s="14" t="n"/>
      <c r="E4" s="14" t="n"/>
      <c r="F4" s="14" t="n"/>
      <c r="G4" s="14" t="n"/>
      <c r="H4" s="14" t="n">
        <v>0.95</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Campus Hambaken B.V.</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Pivot Park Vastgoed B.V.</t>
        </is>
      </c>
      <c r="D6" s="14" t="n"/>
      <c r="E6" s="14" t="n"/>
      <c r="F6" s="14" t="n"/>
      <c r="G6" s="14" t="n"/>
      <c r="H6" s="14" t="n">
        <v>0.95</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Bond Park C.V.</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inlineStr">
        <is>
          <t>ADHDcentraal B.V.</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Nightingale Rotterdam I B.V.</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Campus Hambaken B.V.</t>
        </is>
      </c>
      <c r="D10" s="14" t="n"/>
      <c r="E10" s="14" t="n"/>
      <c r="F10" s="14" t="n"/>
      <c r="G10" s="14" t="n"/>
      <c r="H10" s="14" t="n">
        <v>0.95</v>
      </c>
      <c r="K10" s="20" t="inlineStr">
        <is>
          <t>Highlighted rows = file(s) not in the annotation sheet; excluded from all metrics above.</t>
        </is>
      </c>
    </row>
    <row r="11">
      <c r="A11" s="14" t="inlineStr">
        <is>
          <t>20270801 - Getekende Allonge II Advario BV.pdf</t>
        </is>
      </c>
      <c r="B11" s="14" t="n"/>
      <c r="C11" s="15" t="inlineStr">
        <is>
          <t>Stichting Bouwinvest Dutch Institutional Office Fund</t>
        </is>
      </c>
      <c r="D11" s="14" t="n"/>
      <c r="E11" s="14" t="n"/>
      <c r="F11" s="14" t="n"/>
      <c r="G11" s="14" t="n"/>
      <c r="H11" s="14" t="n">
        <v>0.95</v>
      </c>
      <c r="K11" s="17" t="inlineStr">
        <is>
          <t>Validation Rules Example</t>
        </is>
      </c>
    </row>
    <row r="12">
      <c r="A12" s="14" t="inlineStr">
        <is>
          <t>240119 HOVK Spoorlaan 446-448 Tilburg signed.pdf</t>
        </is>
      </c>
      <c r="B12" s="14" t="n"/>
      <c r="C12" s="15" t="inlineStr">
        <is>
          <t>DAF TEI Manager B.V.</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NSI Kantoren BV</t>
        </is>
      </c>
      <c r="D13" s="14" t="n"/>
      <c r="E13" s="14" t="n"/>
      <c r="F13" s="14" t="n"/>
      <c r="G13" s="14" t="n"/>
      <c r="H13" s="14" t="n">
        <v>0.95</v>
      </c>
      <c r="K13" t="n">
        <v>100</v>
      </c>
      <c r="L13" t="n">
        <v>100</v>
      </c>
      <c r="M13" t="inlineStr">
        <is>
          <t>TP</t>
        </is>
      </c>
    </row>
    <row r="14">
      <c r="A14" s="14" t="inlineStr">
        <is>
          <t>CBRE_AT_Services_ENG_-_RITUALS_CBRE signed.pdf</t>
        </is>
      </c>
      <c r="B14" s="14" t="n"/>
      <c r="C14" s="15" t="inlineStr">
        <is>
          <t>Rituals Cosmetics Enterprise B.V.</t>
        </is>
      </c>
      <c r="D14" s="14" t="n"/>
      <c r="E14" s="14" t="n"/>
      <c r="F14" s="14" t="n"/>
      <c r="G14" s="14" t="n"/>
      <c r="H14" s="14" t="n">
        <v>0.95</v>
      </c>
      <c r="L14" t="n">
        <v>100</v>
      </c>
      <c r="M14" t="inlineStr">
        <is>
          <t>FP</t>
        </is>
      </c>
    </row>
    <row r="15">
      <c r="A15" s="14" t="inlineStr">
        <is>
          <t>CBRE_Engagement_Letter_Alnylam_20260525_CLEAN_Version_signed all.pdf</t>
        </is>
      </c>
      <c r="B15" s="14" t="n"/>
      <c r="C15" s="15" t="inlineStr">
        <is>
          <t>Alnylam Italy S.r.l.</t>
        </is>
      </c>
      <c r="D15" s="14" t="n"/>
      <c r="E15" s="14" t="n"/>
      <c r="F15" s="14" t="n"/>
      <c r="G15" s="14" t="n"/>
      <c r="H15" s="14" t="n">
        <v>0.95</v>
      </c>
      <c r="K15" t="n">
        <v>100</v>
      </c>
      <c r="L15" t="n">
        <v>200</v>
      </c>
      <c r="M15" t="inlineStr">
        <is>
          <t>FP</t>
        </is>
      </c>
    </row>
    <row r="16">
      <c r="A16" s="14" t="inlineStr">
        <is>
          <t>COMPL DEF Huurovereenkomst - Skybox - Pepperl+Fuchs - 20260204.pdf</t>
        </is>
      </c>
      <c r="B16" s="14" t="n"/>
      <c r="C16" s="15" t="inlineStr">
        <is>
          <t>ComfortZone Vastgoed III B.V.</t>
        </is>
      </c>
      <c r="D16" s="14" t="n"/>
      <c r="E16" s="14" t="n"/>
      <c r="F16" s="14" t="n"/>
      <c r="G16" s="14" t="n"/>
      <c r="H16" s="14" t="n">
        <v>0.9695876288659794</v>
      </c>
      <c r="K16" t="n">
        <v>100</v>
      </c>
      <c r="M16" t="inlineStr">
        <is>
          <t>FN</t>
        </is>
      </c>
    </row>
    <row r="17">
      <c r="A17" s="14" t="inlineStr">
        <is>
          <t>COMPL Huurovereenkomst - Stichting CCE - Kantoorgebouw Metzpoint I Dr. Holtroplaan - Fully Signed.pdf</t>
        </is>
      </c>
      <c r="B17" s="14" t="n"/>
      <c r="C17" s="15" t="inlineStr">
        <is>
          <t>Foxhouse Invest B.V.</t>
        </is>
      </c>
      <c r="D17" s="14" t="n"/>
      <c r="E17" s="14" t="n"/>
      <c r="F17" s="14" t="n"/>
      <c r="G17" s="14" t="n"/>
      <c r="H17" s="14" t="n">
        <v>0.95</v>
      </c>
      <c r="M17" t="inlineStr">
        <is>
          <t>TN</t>
        </is>
      </c>
    </row>
    <row r="18">
      <c r="A18" s="14" t="inlineStr">
        <is>
          <t>COMPL Regel Partners - HOVK - Luchthavenweg 81 - 20260728.pdf</t>
        </is>
      </c>
      <c r="B18" s="14" t="n"/>
      <c r="C18" s="15" t="inlineStr">
        <is>
          <t>Stichting Juridisch Eigenaar Benkey Vastgoed</t>
        </is>
      </c>
      <c r="D18" s="14" t="n"/>
      <c r="E18" s="14" t="n"/>
      <c r="F18" s="14" t="n"/>
      <c r="G18" s="14" t="n"/>
      <c r="H18" s="14" t="n">
        <v>0.95</v>
      </c>
    </row>
    <row r="19">
      <c r="A19" s="14" t="inlineStr">
        <is>
          <t>COMPL_-_Onderhuurovereenkomst_Zelfstroom_B.V._-_50five_B.V._-_kantoorgebouw_Riva_-_05032026.pdf</t>
        </is>
      </c>
      <c r="B19" s="14" t="n"/>
      <c r="C19" s="15" t="inlineStr">
        <is>
          <t>Zelfstroom B.V.</t>
        </is>
      </c>
      <c r="D19" s="14" t="n"/>
      <c r="E19" s="14" t="n"/>
      <c r="F19" s="14" t="n"/>
      <c r="G19" s="14" t="n"/>
      <c r="H19" s="14" t="n">
        <v>0.95</v>
      </c>
      <c r="K19" s="17" t="inlineStr">
        <is>
          <t>Field:</t>
        </is>
      </c>
      <c r="L19" t="inlineStr">
        <is>
          <t>Companies / company_name</t>
        </is>
      </c>
    </row>
    <row r="20">
      <c r="A20" s="14" t="inlineStr">
        <is>
          <t>Den Bosch, Ruwekampweg 4, HOVK getekend.pdf</t>
        </is>
      </c>
      <c r="B20" s="14" t="n"/>
      <c r="C20" s="15" t="inlineStr">
        <is>
          <t>S.F.M. Duijndam</t>
        </is>
      </c>
      <c r="D20" s="14" t="n"/>
      <c r="E20" s="14" t="n"/>
      <c r="F20" s="14" t="n"/>
      <c r="G20" s="14" t="n"/>
      <c r="H20" s="14" t="n">
        <v>0.9647668393782383</v>
      </c>
    </row>
    <row r="21">
      <c r="A21" s="14" t="inlineStr">
        <is>
          <t>FULLY SIGNED - COMPL Huurovereenkomst - Heijmans - Hugo de Grootlaan 23 's-Hertogenbosch V2 30-9-2025.pdf</t>
        </is>
      </c>
      <c r="B21" s="14" t="n"/>
      <c r="C21" s="15" t="inlineStr">
        <is>
          <t>2Contact Groep B.V.</t>
        </is>
      </c>
      <c r="D21" s="14" t="n"/>
      <c r="E21" s="14" t="n"/>
      <c r="F21" s="14" t="n"/>
      <c r="G21" s="14" t="n"/>
      <c r="H21" s="14" t="n">
        <v>0.95</v>
      </c>
    </row>
    <row r="22">
      <c r="A22" s="14" t="inlineStr">
        <is>
          <t>FULLY SIGNED - DEF_COMPL_Huurovereenkomst_Robo_Charge_-_Campus_Offices_-_20260220.pdf</t>
        </is>
      </c>
      <c r="B22" s="14" t="n"/>
      <c r="C22" s="15" t="inlineStr">
        <is>
          <t>Campus Hambaken B.V.</t>
        </is>
      </c>
      <c r="D22" s="14" t="n"/>
      <c r="E22" s="14" t="n"/>
      <c r="F22" s="14" t="n"/>
      <c r="G22" s="14" t="n"/>
      <c r="H22" s="14" t="n">
        <v>0.95</v>
      </c>
    </row>
    <row r="23">
      <c r="A23" s="14" t="inlineStr">
        <is>
          <t>FULLY SIGNED - Onderhuurovereenkomst Aartshertogenlaan 223, `s-Hertogenbosch - Koning Willem I College B.V. 2606202.pdf</t>
        </is>
      </c>
      <c r="B23" s="14" t="n"/>
      <c r="C23" s="15" t="inlineStr">
        <is>
          <t>Luzac Opleidingen B.V.</t>
        </is>
      </c>
      <c r="D23" s="14" t="n"/>
      <c r="E23" s="14" t="n"/>
      <c r="F23" s="14" t="n"/>
      <c r="G23" s="14" t="n"/>
      <c r="H23" s="14" t="n">
        <v>0.95</v>
      </c>
    </row>
    <row r="24">
      <c r="A24" s="14" t="inlineStr">
        <is>
          <t>FULLY SIGNED COMPL_DEF_Huurovereenkomst_Bond_Bergschot_Breda.pdf</t>
        </is>
      </c>
      <c r="B24" s="14" t="n"/>
      <c r="C24" s="15" t="inlineStr">
        <is>
          <t>Bergschot Breda B.V.</t>
        </is>
      </c>
      <c r="D24" s="14" t="n"/>
      <c r="E24" s="14" t="n"/>
      <c r="F24" s="14" t="n"/>
      <c r="G24" s="14" t="n"/>
      <c r="H24" s="14" t="n">
        <v>0.95</v>
      </c>
    </row>
    <row r="25">
      <c r="A25" s="14" t="inlineStr">
        <is>
          <t>FullySigned_Allonge_II_Virtual_Vaults_Nederland.pdf</t>
        </is>
      </c>
      <c r="B25" s="14" t="n"/>
      <c r="C25" s="15" t="inlineStr">
        <is>
          <t>Newomij International V B.V.</t>
        </is>
      </c>
      <c r="D25" s="14" t="n"/>
      <c r="E25" s="14" t="n"/>
      <c r="F25" s="14" t="n"/>
      <c r="G25" s="14" t="n"/>
      <c r="H25" s="14" t="n">
        <v>0.95</v>
      </c>
    </row>
    <row r="26">
      <c r="A26" s="14" t="inlineStr">
        <is>
          <t>FullySigned_Lease_Agreement_Neste_EDGE_Coolsingel.pdf</t>
        </is>
      </c>
      <c r="B26" s="14" t="n"/>
      <c r="C26" s="15" t="inlineStr">
        <is>
          <t>EDGE Development 8 B.V.</t>
        </is>
      </c>
      <c r="D26" s="14" t="n"/>
      <c r="E26" s="14" t="n"/>
      <c r="F26" s="14" t="n"/>
      <c r="G26" s="14" t="n"/>
      <c r="H26" s="14" t="n">
        <v>0.95</v>
      </c>
    </row>
    <row r="27">
      <c r="A27" s="14" t="inlineStr">
        <is>
          <t>HOK Waalhaven Group (signed).pdf</t>
        </is>
      </c>
      <c r="B27" s="14" t="n"/>
      <c r="C27" s="15" t="inlineStr">
        <is>
          <t>M7 EREIP V Lux Dutch Holdco S.a r.l.</t>
        </is>
      </c>
      <c r="D27" s="14" t="n"/>
      <c r="E27" s="14" t="n"/>
      <c r="F27" s="14" t="n"/>
      <c r="G27" s="14" t="n"/>
      <c r="H27" s="14" t="n">
        <v>0.95</v>
      </c>
    </row>
    <row r="28">
      <c r="A28" s="14" t="inlineStr">
        <is>
          <t>Hovk Avans  (3e+4e+5e verd.) 20140425.pdf</t>
        </is>
      </c>
      <c r="B28" s="14" t="n"/>
      <c r="C28" s="15" t="inlineStr">
        <is>
          <t>TMW Pramerica Property Investments GmbH</t>
        </is>
      </c>
      <c r="D28" s="14" t="n"/>
      <c r="E28" s="14" t="n"/>
      <c r="F28" s="14" t="n"/>
      <c r="G28" s="14" t="n"/>
      <c r="H28" s="14" t="n">
        <v>0.9695876288659794</v>
      </c>
    </row>
    <row r="29">
      <c r="A29" s="14" t="inlineStr">
        <is>
          <t>HOVK Power4People 2025.pdf</t>
        </is>
      </c>
      <c r="B29" s="14" t="n"/>
      <c r="C29" s="15" t="inlineStr">
        <is>
          <t>OFY Breda B.V.</t>
        </is>
      </c>
      <c r="D29" s="14" t="n"/>
      <c r="E29" s="14" t="n"/>
      <c r="F29" s="14" t="n"/>
      <c r="G29" s="14" t="n"/>
      <c r="H29" s="14" t="n">
        <v>0.95</v>
      </c>
    </row>
    <row r="30">
      <c r="A30" s="14" t="inlineStr">
        <is>
          <t>Huurovereenkomst (Semmie Group B.V.) - Wilhelminasingel 19, Breda.pdf</t>
        </is>
      </c>
      <c r="B30" s="14" t="n"/>
      <c r="C30" s="15" t="inlineStr">
        <is>
          <t>Het Malieveld B.V.</t>
        </is>
      </c>
      <c r="D30" s="14" t="n"/>
      <c r="E30" s="14" t="n"/>
      <c r="F30" s="14" t="n"/>
      <c r="G30" s="14" t="n"/>
      <c r="H30" s="14" t="n">
        <v>0.95</v>
      </c>
    </row>
    <row r="31">
      <c r="A31" s="14" t="inlineStr">
        <is>
          <t>Huurovereenkomst - proces-verbaal van oplevering - sleuteloverdracht - Kennedyplein 101 - getekend.pdf</t>
        </is>
      </c>
      <c r="B31" s="14" t="n"/>
      <c r="C31" s="15" t="inlineStr">
        <is>
          <t>Gemeente Eindhoven</t>
        </is>
      </c>
      <c r="D31" s="14" t="n"/>
      <c r="E31" s="14" t="n"/>
      <c r="F31" s="14" t="n"/>
      <c r="G31" s="14" t="n"/>
      <c r="H31" s="14" t="n">
        <v>0.95</v>
      </c>
    </row>
    <row r="32">
      <c r="A32" s="14" t="inlineStr">
        <is>
          <t>Huurovereenkomst Bijster 5 te Breda getekend.pdf</t>
        </is>
      </c>
      <c r="B32" s="14" t="n"/>
      <c r="C32" s="15" t="inlineStr">
        <is>
          <t>Vastgoed van Wettum B.V.</t>
        </is>
      </c>
      <c r="D32" s="14" t="n"/>
      <c r="E32" s="14" t="n"/>
      <c r="F32" s="14" t="n"/>
      <c r="G32" s="14" t="n"/>
      <c r="H32" s="14" t="n">
        <v>0.95</v>
      </c>
    </row>
    <row r="33" ht="28.8" customHeight="1">
      <c r="A33" s="14" t="inlineStr">
        <is>
          <t>Huurovereenkomst Catena Pand Son - Skymark (Son en Breugel - NLD).pdf</t>
        </is>
      </c>
      <c r="B33" s="14" t="n"/>
      <c r="C33" s="15" t="inlineStr">
        <is>
          <t>Dreinundsechzigste geschlossener Immobilienfonds fur Holland GmbH &amp; Co. KG</t>
        </is>
      </c>
      <c r="D33" s="14" t="n"/>
      <c r="E33" s="14" t="n"/>
      <c r="F33" s="14" t="n"/>
      <c r="G33" s="14" t="n"/>
      <c r="H33" s="14" t="n">
        <v>0.95</v>
      </c>
    </row>
    <row r="34">
      <c r="A34" s="14" t="inlineStr">
        <is>
          <t>Huurovereenkomst KPN Opstelpunt Parallelweg 64 20130313.pdf</t>
        </is>
      </c>
      <c r="B34" s="14" t="n"/>
      <c r="C34" s="15" t="inlineStr">
        <is>
          <t>TMW Pramerica Property Investment GmbH</t>
        </is>
      </c>
      <c r="D34" s="14" t="n"/>
      <c r="E34" s="14" t="n"/>
      <c r="F34" s="14" t="n"/>
      <c r="G34" s="14" t="n"/>
      <c r="H34" s="14" t="n">
        <v>0.95</v>
      </c>
    </row>
    <row r="35">
      <c r="A35" s="14" t="inlineStr">
        <is>
          <t>Huurovereenkomst PBG Parallelweg 64 (beg.grond) 20121008.pdf</t>
        </is>
      </c>
      <c r="B35" s="14" t="n"/>
      <c r="C35" s="15" t="inlineStr">
        <is>
          <t>TMW Pramerica Property Investment GmbH</t>
        </is>
      </c>
      <c r="D35" s="14" t="n"/>
      <c r="E35" s="14" t="n"/>
      <c r="F35" s="14" t="n"/>
      <c r="G35" s="14" t="n"/>
      <c r="H35" s="14" t="n">
        <v>0.9695876288659794</v>
      </c>
    </row>
    <row r="36">
      <c r="A36" s="14" t="inlineStr">
        <is>
          <t>MWO CBRE SPA (ITALY) CBRE_090724.pdf</t>
        </is>
      </c>
      <c r="B36" s="14" t="n"/>
      <c r="C36" s="15" t="inlineStr">
        <is>
          <t>Amazon EU S.a r.l.</t>
        </is>
      </c>
      <c r="D36" s="14" t="n"/>
      <c r="E36" s="14" t="n"/>
      <c r="F36" s="14" t="n"/>
      <c r="G36" s="14" t="n"/>
      <c r="H36" s="14" t="n">
        <v>0.9695876288659794</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LEGAL OWNER</t>
        </is>
      </c>
      <c r="D2" s="14" t="n"/>
      <c r="E2" s="14" t="n"/>
      <c r="F2" s="14" t="n"/>
      <c r="G2" s="14" t="n"/>
      <c r="H2" s="14" t="n">
        <v>0.95</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LEGAL OWNER</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LEGAL OWNER</t>
        </is>
      </c>
      <c r="D4" s="14" t="n"/>
      <c r="E4" s="14" t="n"/>
      <c r="F4" s="14" t="n"/>
      <c r="G4" s="14" t="n"/>
      <c r="H4" s="14" t="n">
        <v>0.95</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LEGAL OWNER</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LEGAL OWNER</t>
        </is>
      </c>
      <c r="D6" s="14" t="n"/>
      <c r="E6" s="14" t="n"/>
      <c r="F6" s="14" t="n"/>
      <c r="G6" s="14" t="n"/>
      <c r="H6" s="14" t="n">
        <v>0.95</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LEGAL OWNER</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inlineStr">
        <is>
          <t>TENANT</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LEGAL OWNER</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LEGAL OWNER</t>
        </is>
      </c>
      <c r="D10" s="14" t="n"/>
      <c r="E10" s="14" t="n"/>
      <c r="F10" s="14" t="n"/>
      <c r="G10" s="14" t="n"/>
      <c r="H10" s="14" t="n">
        <v>0.95</v>
      </c>
      <c r="K10" s="20" t="inlineStr">
        <is>
          <t>Highlighted rows = file(s) not in the annotation sheet; excluded from all metrics above.</t>
        </is>
      </c>
    </row>
    <row r="11">
      <c r="A11" s="14" t="inlineStr">
        <is>
          <t>20270801 - Getekende Allonge II Advario BV.pdf</t>
        </is>
      </c>
      <c r="B11" s="14" t="n"/>
      <c r="C11" s="15" t="inlineStr">
        <is>
          <t>LEGAL OWNER</t>
        </is>
      </c>
      <c r="D11" s="14" t="n"/>
      <c r="E11" s="14" t="n"/>
      <c r="F11" s="14" t="n"/>
      <c r="G11" s="14" t="n"/>
      <c r="H11" s="14" t="n">
        <v>0.95</v>
      </c>
      <c r="K11" s="17" t="inlineStr">
        <is>
          <t>Validation Rules Example</t>
        </is>
      </c>
    </row>
    <row r="12">
      <c r="A12" s="14" t="inlineStr">
        <is>
          <t>240119 HOVK Spoorlaan 446-448 Tilburg signed.pdf</t>
        </is>
      </c>
      <c r="B12" s="14" t="n"/>
      <c r="C12" s="15" t="inlineStr">
        <is>
          <t>LEGAL OWNER</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LEGAL OWNER</t>
        </is>
      </c>
      <c r="D13" s="14" t="n"/>
      <c r="E13" s="14" t="n"/>
      <c r="F13" s="14" t="n"/>
      <c r="G13" s="14" t="n"/>
      <c r="H13" s="14" t="n">
        <v>0.95</v>
      </c>
      <c r="K13" t="n">
        <v>100</v>
      </c>
      <c r="L13" t="n">
        <v>100</v>
      </c>
      <c r="M13" t="inlineStr">
        <is>
          <t>TP</t>
        </is>
      </c>
    </row>
    <row r="14">
      <c r="A14" s="14" t="inlineStr">
        <is>
          <t>CBRE_AT_Services_ENG_-_RITUALS_CBRE signed.pdf</t>
        </is>
      </c>
      <c r="B14" s="14" t="n"/>
      <c r="C14" s="15" t="inlineStr">
        <is>
          <t>TENANT</t>
        </is>
      </c>
      <c r="D14" s="14" t="n"/>
      <c r="E14" s="14" t="n"/>
      <c r="F14" s="14" t="n"/>
      <c r="G14" s="14" t="n"/>
      <c r="H14" s="14" t="n">
        <v>0.95</v>
      </c>
      <c r="L14" t="n">
        <v>100</v>
      </c>
      <c r="M14" t="inlineStr">
        <is>
          <t>FP</t>
        </is>
      </c>
    </row>
    <row r="15">
      <c r="A15" s="14" t="inlineStr">
        <is>
          <t>CBRE_Engagement_Letter_Alnylam_20260525_CLEAN_Version_signed all.pdf</t>
        </is>
      </c>
      <c r="B15" s="14" t="n"/>
      <c r="C15" s="15" t="inlineStr">
        <is>
          <t>TENANT</t>
        </is>
      </c>
      <c r="D15" s="14" t="n"/>
      <c r="E15" s="14" t="n"/>
      <c r="F15" s="14" t="n"/>
      <c r="G15" s="14" t="n"/>
      <c r="H15" s="14" t="n">
        <v>0.95</v>
      </c>
      <c r="K15" t="n">
        <v>100</v>
      </c>
      <c r="L15" t="n">
        <v>200</v>
      </c>
      <c r="M15" t="inlineStr">
        <is>
          <t>FP</t>
        </is>
      </c>
    </row>
    <row r="16">
      <c r="A16" s="14" t="inlineStr">
        <is>
          <t>COMPL DEF Huurovereenkomst - Skybox - Pepperl+Fuchs - 20260204.pdf</t>
        </is>
      </c>
      <c r="B16" s="14" t="n"/>
      <c r="C16" s="15" t="inlineStr">
        <is>
          <t>LEGAL OWNER</t>
        </is>
      </c>
      <c r="D16" s="14" t="n"/>
      <c r="E16" s="14" t="n"/>
      <c r="F16" s="14" t="n"/>
      <c r="G16" s="14" t="n"/>
      <c r="H16" s="14" t="n">
        <v>0.9695876288659794</v>
      </c>
      <c r="K16" t="n">
        <v>100</v>
      </c>
      <c r="M16" t="inlineStr">
        <is>
          <t>FN</t>
        </is>
      </c>
    </row>
    <row r="17">
      <c r="A17" s="14" t="inlineStr">
        <is>
          <t>COMPL Huurovereenkomst - Stichting CCE - Kantoorgebouw Metzpoint I Dr. Holtroplaan - Fully Signed.pdf</t>
        </is>
      </c>
      <c r="B17" s="14" t="n"/>
      <c r="C17" s="15" t="inlineStr">
        <is>
          <t>LEGAL OWNER</t>
        </is>
      </c>
      <c r="D17" s="14" t="n"/>
      <c r="E17" s="14" t="n"/>
      <c r="F17" s="14" t="n"/>
      <c r="G17" s="14" t="n"/>
      <c r="H17" s="14" t="n">
        <v>0.95</v>
      </c>
      <c r="M17" t="inlineStr">
        <is>
          <t>TN</t>
        </is>
      </c>
    </row>
    <row r="18">
      <c r="A18" s="14" t="inlineStr">
        <is>
          <t>COMPL Regel Partners - HOVK - Luchthavenweg 81 - 20260728.pdf</t>
        </is>
      </c>
      <c r="B18" s="14" t="n"/>
      <c r="C18" s="15" t="inlineStr">
        <is>
          <t>LEGAL OWNER</t>
        </is>
      </c>
      <c r="D18" s="14" t="n"/>
      <c r="E18" s="14" t="n"/>
      <c r="F18" s="14" t="n"/>
      <c r="G18" s="14" t="n"/>
      <c r="H18" s="14" t="n">
        <v>0.95</v>
      </c>
    </row>
    <row r="19">
      <c r="A19" s="14" t="inlineStr">
        <is>
          <t>COMPL_-_Onderhuurovereenkomst_Zelfstroom_B.V._-_50five_B.V._-_kantoorgebouw_Riva_-_05032026.pdf</t>
        </is>
      </c>
      <c r="B19" s="14" t="n"/>
      <c r="C19" s="15" t="inlineStr">
        <is>
          <t>LEGAL OWNER</t>
        </is>
      </c>
      <c r="D19" s="14" t="n"/>
      <c r="E19" s="14" t="n"/>
      <c r="F19" s="14" t="n"/>
      <c r="G19" s="14" t="n"/>
      <c r="H19" s="14" t="n">
        <v>0.95</v>
      </c>
      <c r="K19" s="17" t="inlineStr">
        <is>
          <t>Field:</t>
        </is>
      </c>
      <c r="L19" t="inlineStr">
        <is>
          <t>Companies / role_desc</t>
        </is>
      </c>
    </row>
    <row r="20">
      <c r="A20" s="14" t="inlineStr">
        <is>
          <t>Den Bosch, Ruwekampweg 4, HOVK getekend.pdf</t>
        </is>
      </c>
      <c r="B20" s="14" t="n"/>
      <c r="C20" s="15" t="inlineStr">
        <is>
          <t>LEGAL OWNER</t>
        </is>
      </c>
      <c r="D20" s="14" t="n"/>
      <c r="E20" s="14" t="n"/>
      <c r="F20" s="14" t="n"/>
      <c r="G20" s="14" t="n"/>
      <c r="H20" s="14" t="n">
        <v>0.9647668393782383</v>
      </c>
    </row>
    <row r="21">
      <c r="A21" s="14" t="inlineStr">
        <is>
          <t>FULLY SIGNED - COMPL Huurovereenkomst - Heijmans - Hugo de Grootlaan 23 's-Hertogenbosch V2 30-9-2025.pdf</t>
        </is>
      </c>
      <c r="B21" s="14" t="n"/>
      <c r="C21" s="15" t="inlineStr">
        <is>
          <t>LEGAL OWNER</t>
        </is>
      </c>
      <c r="D21" s="14" t="n"/>
      <c r="E21" s="14" t="n"/>
      <c r="F21" s="14" t="n"/>
      <c r="G21" s="14" t="n"/>
      <c r="H21" s="14" t="n">
        <v>0.95</v>
      </c>
    </row>
    <row r="22">
      <c r="A22" s="14" t="inlineStr">
        <is>
          <t>FULLY SIGNED - DEF_COMPL_Huurovereenkomst_Robo_Charge_-_Campus_Offices_-_20260220.pdf</t>
        </is>
      </c>
      <c r="B22" s="14" t="n"/>
      <c r="C22" s="15" t="inlineStr">
        <is>
          <t>LEGAL OWNER</t>
        </is>
      </c>
      <c r="D22" s="14" t="n"/>
      <c r="E22" s="14" t="n"/>
      <c r="F22" s="14" t="n"/>
      <c r="G22" s="14" t="n"/>
      <c r="H22" s="14" t="n">
        <v>0.95</v>
      </c>
    </row>
    <row r="23">
      <c r="A23" s="14" t="inlineStr">
        <is>
          <t>FULLY SIGNED - Onderhuurovereenkomst Aartshertogenlaan 223, `s-Hertogenbosch - Koning Willem I College B.V. 2606202.pdf</t>
        </is>
      </c>
      <c r="B23" s="14" t="n"/>
      <c r="C23" s="15" t="inlineStr">
        <is>
          <t>LEGAL OWNER</t>
        </is>
      </c>
      <c r="D23" s="14" t="n"/>
      <c r="E23" s="14" t="n"/>
      <c r="F23" s="14" t="n"/>
      <c r="G23" s="14" t="n"/>
      <c r="H23" s="14" t="n">
        <v>0.95</v>
      </c>
    </row>
    <row r="24">
      <c r="A24" s="14" t="inlineStr">
        <is>
          <t>FULLY SIGNED COMPL_DEF_Huurovereenkomst_Bond_Bergschot_Breda.pdf</t>
        </is>
      </c>
      <c r="B24" s="14" t="n"/>
      <c r="C24" s="15" t="inlineStr">
        <is>
          <t>LEGAL OWNER</t>
        </is>
      </c>
      <c r="D24" s="14" t="n"/>
      <c r="E24" s="14" t="n"/>
      <c r="F24" s="14" t="n"/>
      <c r="G24" s="14" t="n"/>
      <c r="H24" s="14" t="n">
        <v>0.95</v>
      </c>
    </row>
    <row r="25">
      <c r="A25" s="14" t="inlineStr">
        <is>
          <t>FullySigned_Allonge_II_Virtual_Vaults_Nederland.pdf</t>
        </is>
      </c>
      <c r="B25" s="14" t="n"/>
      <c r="C25" s="15" t="inlineStr">
        <is>
          <t>LEGAL OWNER</t>
        </is>
      </c>
      <c r="D25" s="14" t="n"/>
      <c r="E25" s="14" t="n"/>
      <c r="F25" s="14" t="n"/>
      <c r="G25" s="14" t="n"/>
      <c r="H25" s="14" t="n">
        <v>0.95</v>
      </c>
    </row>
    <row r="26">
      <c r="A26" s="14" t="inlineStr">
        <is>
          <t>FullySigned_Lease_Agreement_Neste_EDGE_Coolsingel.pdf</t>
        </is>
      </c>
      <c r="B26" s="14" t="n"/>
      <c r="C26" s="15" t="inlineStr">
        <is>
          <t>LEGAL OWNER</t>
        </is>
      </c>
      <c r="D26" s="14" t="n"/>
      <c r="E26" s="14" t="n"/>
      <c r="F26" s="14" t="n"/>
      <c r="G26" s="14" t="n"/>
      <c r="H26" s="14" t="n">
        <v>0.95</v>
      </c>
    </row>
    <row r="27">
      <c r="A27" s="14" t="inlineStr">
        <is>
          <t>HOK Waalhaven Group (signed).pdf</t>
        </is>
      </c>
      <c r="B27" s="14" t="n"/>
      <c r="C27" s="15" t="inlineStr">
        <is>
          <t>LEGAL OWNER</t>
        </is>
      </c>
      <c r="D27" s="14" t="n"/>
      <c r="E27" s="14" t="n"/>
      <c r="F27" s="14" t="n"/>
      <c r="G27" s="14" t="n"/>
      <c r="H27" s="14" t="n">
        <v>0.95</v>
      </c>
    </row>
    <row r="28">
      <c r="A28" s="14" t="inlineStr">
        <is>
          <t>Hovk Avans  (3e+4e+5e verd.) 20140425.pdf</t>
        </is>
      </c>
      <c r="B28" s="14" t="n"/>
      <c r="C28" s="15" t="inlineStr">
        <is>
          <t>LEGAL OWNER</t>
        </is>
      </c>
      <c r="D28" s="14" t="n"/>
      <c r="E28" s="14" t="n"/>
      <c r="F28" s="14" t="n"/>
      <c r="G28" s="14" t="n"/>
      <c r="H28" s="14" t="n">
        <v>0.9695876288659794</v>
      </c>
    </row>
    <row r="29">
      <c r="A29" s="14" t="inlineStr">
        <is>
          <t>HOVK Power4People 2025.pdf</t>
        </is>
      </c>
      <c r="B29" s="14" t="n"/>
      <c r="C29" s="15" t="inlineStr">
        <is>
          <t>LEGAL OWNER</t>
        </is>
      </c>
      <c r="D29" s="14" t="n"/>
      <c r="E29" s="14" t="n"/>
      <c r="F29" s="14" t="n"/>
      <c r="G29" s="14" t="n"/>
      <c r="H29" s="14" t="n">
        <v>0.95</v>
      </c>
    </row>
    <row r="30">
      <c r="A30" s="14" t="inlineStr">
        <is>
          <t>Huurovereenkomst (Semmie Group B.V.) - Wilhelminasingel 19, Breda.pdf</t>
        </is>
      </c>
      <c r="B30" s="14" t="n"/>
      <c r="C30" s="15" t="inlineStr">
        <is>
          <t>LEGAL OWNER</t>
        </is>
      </c>
      <c r="D30" s="14" t="n"/>
      <c r="E30" s="14" t="n"/>
      <c r="F30" s="14" t="n"/>
      <c r="G30" s="14" t="n"/>
      <c r="H30" s="14" t="n">
        <v>0.95</v>
      </c>
    </row>
    <row r="31">
      <c r="A31" s="14" t="inlineStr">
        <is>
          <t>Huurovereenkomst - proces-verbaal van oplevering - sleuteloverdracht - Kennedyplein 101 - getekend.pdf</t>
        </is>
      </c>
      <c r="B31" s="14" t="n"/>
      <c r="C31" s="15" t="inlineStr">
        <is>
          <t>LEGAL OWNER</t>
        </is>
      </c>
      <c r="D31" s="14" t="n"/>
      <c r="E31" s="14" t="n"/>
      <c r="F31" s="14" t="n"/>
      <c r="G31" s="14" t="n"/>
      <c r="H31" s="14" t="n">
        <v>0.95</v>
      </c>
    </row>
    <row r="32">
      <c r="A32" s="14" t="inlineStr">
        <is>
          <t>Huurovereenkomst Bijster 5 te Breda getekend.pdf</t>
        </is>
      </c>
      <c r="B32" s="14" t="n"/>
      <c r="C32" s="15" t="inlineStr">
        <is>
          <t>LEGAL OWNER</t>
        </is>
      </c>
      <c r="D32" s="14" t="n"/>
      <c r="E32" s="14" t="n"/>
      <c r="F32" s="14" t="n"/>
      <c r="G32" s="14" t="n"/>
      <c r="H32" s="14" t="n">
        <v>0.95</v>
      </c>
    </row>
    <row r="33">
      <c r="A33" s="14" t="inlineStr">
        <is>
          <t>Huurovereenkomst Catena Pand Son - Skymark (Son en Breugel - NLD).pdf</t>
        </is>
      </c>
      <c r="B33" s="14" t="n"/>
      <c r="C33" s="15" t="inlineStr">
        <is>
          <t>LEGAL OWNER</t>
        </is>
      </c>
      <c r="D33" s="14" t="n"/>
      <c r="E33" s="14" t="n"/>
      <c r="F33" s="14" t="n"/>
      <c r="G33" s="14" t="n"/>
      <c r="H33" s="14" t="n">
        <v>0.95</v>
      </c>
    </row>
    <row r="34">
      <c r="A34" s="14" t="inlineStr">
        <is>
          <t>Huurovereenkomst KPN Opstelpunt Parallelweg 64 20130313.pdf</t>
        </is>
      </c>
      <c r="B34" s="14" t="n"/>
      <c r="C34" s="15" t="inlineStr">
        <is>
          <t>LEGAL OWNER</t>
        </is>
      </c>
      <c r="D34" s="14" t="n"/>
      <c r="E34" s="14" t="n"/>
      <c r="F34" s="14" t="n"/>
      <c r="G34" s="14" t="n"/>
      <c r="H34" s="14" t="n">
        <v>0.95</v>
      </c>
    </row>
    <row r="35">
      <c r="A35" s="14" t="inlineStr">
        <is>
          <t>Huurovereenkomst PBG Parallelweg 64 (beg.grond) 20121008.pdf</t>
        </is>
      </c>
      <c r="B35" s="14" t="n"/>
      <c r="C35" s="15" t="inlineStr">
        <is>
          <t>LEGAL OWNER</t>
        </is>
      </c>
      <c r="D35" s="14" t="n"/>
      <c r="E35" s="14" t="n"/>
      <c r="F35" s="14" t="n"/>
      <c r="G35" s="14" t="n"/>
      <c r="H35" s="14" t="n">
        <v>0.9695876288659794</v>
      </c>
    </row>
    <row r="36">
      <c r="A36" s="14" t="inlineStr">
        <is>
          <t>MWO CBRE SPA (ITALY) CBRE_090724.pdf</t>
        </is>
      </c>
      <c r="B36" s="14" t="n"/>
      <c r="C36" s="15" t="inlineStr">
        <is>
          <t>LEGAL OWNER</t>
        </is>
      </c>
      <c r="D36" s="14" t="n"/>
      <c r="E36" s="14" t="n"/>
      <c r="F36" s="14" t="n"/>
      <c r="G36" s="14" t="n"/>
      <c r="H36" s="14" t="n">
        <v>0.9695876288659794</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N</t>
        </is>
      </c>
      <c r="D2" s="14" t="n"/>
      <c r="E2" s="14" t="n"/>
      <c r="F2" s="14" t="n"/>
      <c r="G2" s="14" t="n"/>
      <c r="H2" s="14" t="n">
        <v>0.9528795811518325</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N</t>
        </is>
      </c>
      <c r="D3" s="14" t="n"/>
      <c r="E3" s="14" t="n"/>
      <c r="F3" s="14" t="n"/>
      <c r="G3" s="14" t="n"/>
      <c r="H3" s="14" t="n">
        <v>0.9528795811518325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N</t>
        </is>
      </c>
      <c r="D4" s="14" t="n"/>
      <c r="E4" s="14" t="n"/>
      <c r="F4" s="14" t="n"/>
      <c r="G4" s="14" t="n"/>
      <c r="H4" s="14" t="n">
        <v>0.9743589743589743</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N</t>
        </is>
      </c>
      <c r="D5" s="14" t="n"/>
      <c r="E5" s="14" t="n"/>
      <c r="F5" s="14" t="n"/>
      <c r="G5" s="14" t="n"/>
      <c r="H5" s="14" t="n">
        <v>0.9528795811518325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N</t>
        </is>
      </c>
      <c r="D6" s="14" t="n"/>
      <c r="E6" s="14" t="n"/>
      <c r="F6" s="14" t="n"/>
      <c r="G6" s="14" t="n"/>
      <c r="H6" s="14" t="n">
        <v>0.9501160092807424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N</t>
        </is>
      </c>
      <c r="D7" s="14" t="n"/>
      <c r="E7" s="14" t="n"/>
      <c r="F7" s="14" t="n"/>
      <c r="G7" s="14" t="n"/>
      <c r="H7" s="14" t="n">
        <v>0.9501160092807424</v>
      </c>
      <c r="K7" s="17" t="inlineStr">
        <is>
          <t>Total Docs Tested</t>
        </is>
      </c>
      <c r="L7" s="19">
        <f>COUNTA(A2:A36)</f>
        <v/>
      </c>
      <c r="N7" s="17" t="inlineStr">
        <is>
          <t>Total Docs Tested</t>
        </is>
      </c>
      <c r="O7" s="19">
        <f>COUNTA(A2:A36)</f>
        <v/>
      </c>
    </row>
    <row r="8">
      <c r="A8" s="14" t="inlineStr">
        <is>
          <t>20260629 HOK ADHDcentraal BV (1).pdf</t>
        </is>
      </c>
      <c r="B8" s="14" t="n"/>
      <c r="C8" s="15" t="inlineStr">
        <is>
          <t>N</t>
        </is>
      </c>
      <c r="D8" s="14" t="n"/>
      <c r="E8" s="14" t="n"/>
      <c r="F8" s="14" t="n"/>
      <c r="G8" s="14" t="n"/>
      <c r="H8" s="14" t="n">
        <v>0.9119999999999999</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N</t>
        </is>
      </c>
      <c r="D9" s="14" t="n"/>
      <c r="E9" s="14" t="n"/>
      <c r="F9" s="14" t="n"/>
      <c r="G9" s="14" t="n"/>
      <c r="H9" s="14" t="n">
        <v>0.9528795811518325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N</t>
        </is>
      </c>
      <c r="D10" s="14" t="n"/>
      <c r="E10" s="14" t="n"/>
      <c r="F10" s="14" t="n"/>
      <c r="G10" s="14" t="n"/>
      <c r="H10" s="14" t="n">
        <v>0.9528795811518325</v>
      </c>
      <c r="K10" s="20" t="inlineStr">
        <is>
          <t>Highlighted rows = file(s) not in the annotation sheet; excluded from all metrics above.</t>
        </is>
      </c>
    </row>
    <row r="11">
      <c r="A11" s="14" t="inlineStr">
        <is>
          <t>20270801 - Getekende Allonge II Advario BV.pdf</t>
        </is>
      </c>
      <c r="B11" s="14" t="n"/>
      <c r="C11" s="15" t="inlineStr">
        <is>
          <t>N</t>
        </is>
      </c>
      <c r="D11" s="14" t="n"/>
      <c r="E11" s="14" t="n"/>
      <c r="F11" s="14" t="n"/>
      <c r="G11" s="14" t="n"/>
      <c r="H11" s="14" t="n">
        <v>0.9501160092807424</v>
      </c>
      <c r="K11" s="17" t="inlineStr">
        <is>
          <t>Validation Rules Example</t>
        </is>
      </c>
    </row>
    <row r="12">
      <c r="A12" s="14" t="inlineStr">
        <is>
          <t>240119 HOVK Spoorlaan 446-448 Tilburg signed.pdf</t>
        </is>
      </c>
      <c r="B12" s="14" t="n"/>
      <c r="C12" s="15" t="inlineStr">
        <is>
          <t>N</t>
        </is>
      </c>
      <c r="D12" s="14" t="n"/>
      <c r="E12" s="14" t="n"/>
      <c r="F12" s="14" t="n"/>
      <c r="G12" s="14" t="n"/>
      <c r="H12" s="14" t="n">
        <v>1</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N</t>
        </is>
      </c>
      <c r="D13" s="14" t="n"/>
      <c r="E13" s="14" t="n"/>
      <c r="F13" s="14" t="n"/>
      <c r="G13" s="14" t="n"/>
      <c r="H13" s="14" t="n">
        <v>0.9528795811518325</v>
      </c>
      <c r="K13" t="n">
        <v>100</v>
      </c>
      <c r="L13" t="n">
        <v>100</v>
      </c>
      <c r="M13" t="inlineStr">
        <is>
          <t>TP</t>
        </is>
      </c>
    </row>
    <row r="14">
      <c r="A14" s="14" t="inlineStr">
        <is>
          <t>CBRE_AT_Services_ENG_-_RITUALS_CBRE signed.pdf</t>
        </is>
      </c>
      <c r="B14" s="14" t="n"/>
      <c r="C14" s="15" t="inlineStr">
        <is>
          <t>N</t>
        </is>
      </c>
      <c r="D14" s="14" t="n"/>
      <c r="E14" s="14" t="n"/>
      <c r="F14" s="14" t="n"/>
      <c r="G14" s="14" t="n"/>
      <c r="H14" s="14" t="n">
        <v>0.9528795811518325</v>
      </c>
      <c r="L14" t="n">
        <v>100</v>
      </c>
      <c r="M14" t="inlineStr">
        <is>
          <t>FP</t>
        </is>
      </c>
    </row>
    <row r="15">
      <c r="A15" s="14" t="inlineStr">
        <is>
          <t>CBRE_Engagement_Letter_Alnylam_20260525_CLEAN_Version_signed all.pdf</t>
        </is>
      </c>
      <c r="B15" s="14" t="n"/>
      <c r="C15" s="15" t="inlineStr">
        <is>
          <t>N</t>
        </is>
      </c>
      <c r="D15" s="14" t="n"/>
      <c r="E15" s="14" t="n"/>
      <c r="F15" s="14" t="n"/>
      <c r="G15" s="14" t="n"/>
      <c r="H15" s="14" t="n">
        <v>0.9528795811518325</v>
      </c>
      <c r="K15" t="n">
        <v>100</v>
      </c>
      <c r="L15" t="n">
        <v>200</v>
      </c>
      <c r="M15" t="inlineStr">
        <is>
          <t>FP</t>
        </is>
      </c>
    </row>
    <row r="16">
      <c r="A16" s="14" t="inlineStr">
        <is>
          <t>COMPL DEF Huurovereenkomst - Skybox - Pepperl+Fuchs - 20260204.pdf</t>
        </is>
      </c>
      <c r="B16" s="14" t="n"/>
      <c r="C16" s="15" t="inlineStr">
        <is>
          <t>N</t>
        </is>
      </c>
      <c r="D16" s="14" t="n"/>
      <c r="E16" s="14" t="n"/>
      <c r="F16" s="14" t="n"/>
      <c r="G16" s="14" t="n"/>
      <c r="H16" s="14" t="n">
        <v>1</v>
      </c>
      <c r="K16" t="n">
        <v>100</v>
      </c>
      <c r="M16" t="inlineStr">
        <is>
          <t>FN</t>
        </is>
      </c>
    </row>
    <row r="17">
      <c r="A17" s="14" t="inlineStr">
        <is>
          <t>COMPL Huurovereenkomst - Stichting CCE - Kantoorgebouw Metzpoint I Dr. Holtroplaan - Fully Signed.pdf</t>
        </is>
      </c>
      <c r="B17" s="14" t="n"/>
      <c r="C17" s="15" t="n"/>
      <c r="D17" s="14" t="n"/>
      <c r="E17" s="14" t="n"/>
      <c r="F17" s="14" t="n"/>
      <c r="G17" s="14" t="n"/>
      <c r="H17" s="14" t="n"/>
      <c r="M17" t="inlineStr">
        <is>
          <t>TN</t>
        </is>
      </c>
    </row>
    <row r="18">
      <c r="A18" s="14" t="inlineStr">
        <is>
          <t>COMPL Regel Partners - HOVK - Luchthavenweg 81 - 20260728.pdf</t>
        </is>
      </c>
      <c r="B18" s="14" t="n"/>
      <c r="C18" s="15" t="inlineStr">
        <is>
          <t>N</t>
        </is>
      </c>
      <c r="D18" s="14" t="n"/>
      <c r="E18" s="14" t="n"/>
      <c r="F18" s="14" t="n"/>
      <c r="G18" s="14" t="n"/>
      <c r="H18" s="14" t="n">
        <v>0.9296636085626911</v>
      </c>
    </row>
    <row r="19">
      <c r="A19" s="14" t="inlineStr">
        <is>
          <t>COMPL_-_Onderhuurovereenkomst_Zelfstroom_B.V._-_50five_B.V._-_kantoorgebouw_Riva_-_05032026.pdf</t>
        </is>
      </c>
      <c r="B19" s="14" t="n"/>
      <c r="C19" s="15" t="inlineStr">
        <is>
          <t>N</t>
        </is>
      </c>
      <c r="D19" s="14" t="n"/>
      <c r="E19" s="14" t="n"/>
      <c r="F19" s="14" t="n"/>
      <c r="G19" s="14" t="n"/>
      <c r="H19" s="14" t="n">
        <v>0.9845590159644072</v>
      </c>
      <c r="K19" s="17" t="inlineStr">
        <is>
          <t>Field:</t>
        </is>
      </c>
      <c r="L19" t="inlineStr">
        <is>
          <t>Lease_Comp_Details / act_1954_f</t>
        </is>
      </c>
    </row>
    <row r="20">
      <c r="A20" s="14" t="inlineStr">
        <is>
          <t>Den Bosch, Ruwekampweg 4, HOVK getekend.pdf</t>
        </is>
      </c>
      <c r="B20" s="14" t="n"/>
      <c r="C20" s="15" t="inlineStr">
        <is>
          <t>N</t>
        </is>
      </c>
      <c r="D20" s="14" t="n"/>
      <c r="E20" s="14" t="n"/>
      <c r="F20" s="14" t="n"/>
      <c r="G20" s="14" t="n"/>
      <c r="H20" s="14" t="n">
        <v>1</v>
      </c>
    </row>
    <row r="21">
      <c r="A21" s="14" t="inlineStr">
        <is>
          <t>FULLY SIGNED - COMPL Huurovereenkomst - Heijmans - Hugo de Grootlaan 23 's-Hertogenbosch V2 30-9-2025.pdf</t>
        </is>
      </c>
      <c r="B21" s="14" t="n"/>
      <c r="C21" s="15" t="inlineStr">
        <is>
          <t>N</t>
        </is>
      </c>
      <c r="D21" s="14" t="n"/>
      <c r="E21" s="14" t="n"/>
      <c r="F21" s="14" t="n"/>
      <c r="G21" s="14" t="n"/>
      <c r="H21" s="14" t="n">
        <v>0.9528795811518325</v>
      </c>
    </row>
    <row r="22">
      <c r="A22" s="14" t="inlineStr">
        <is>
          <t>FULLY SIGNED - DEF_COMPL_Huurovereenkomst_Robo_Charge_-_Campus_Offices_-_20260220.pdf</t>
        </is>
      </c>
      <c r="B22" s="14" t="n"/>
      <c r="C22" s="15" t="inlineStr">
        <is>
          <t>N</t>
        </is>
      </c>
      <c r="D22" s="14" t="n"/>
      <c r="E22" s="14" t="n"/>
      <c r="F22" s="14" t="n"/>
      <c r="G22" s="14" t="n"/>
      <c r="H22" s="14" t="n">
        <v>0.9501160092807424</v>
      </c>
    </row>
    <row r="23">
      <c r="A23" s="14" t="inlineStr">
        <is>
          <t>FULLY SIGNED - Onderhuurovereenkomst Aartshertogenlaan 223, `s-Hertogenbosch - Koning Willem I College B.V. 2606202.pdf</t>
        </is>
      </c>
      <c r="B23" s="14" t="n"/>
      <c r="C23" s="15" t="inlineStr">
        <is>
          <t>N</t>
        </is>
      </c>
      <c r="D23" s="14" t="n"/>
      <c r="E23" s="14" t="n"/>
      <c r="F23" s="14" t="n"/>
      <c r="G23" s="14" t="n"/>
      <c r="H23" s="14" t="n">
        <v>0.9606741573033707</v>
      </c>
    </row>
    <row r="24">
      <c r="A24" s="14" t="inlineStr">
        <is>
          <t>FULLY SIGNED COMPL_DEF_Huurovereenkomst_Bond_Bergschot_Breda.pdf</t>
        </is>
      </c>
      <c r="B24" s="14" t="n"/>
      <c r="C24" s="15" t="inlineStr">
        <is>
          <t>N</t>
        </is>
      </c>
      <c r="D24" s="14" t="n"/>
      <c r="E24" s="14" t="n"/>
      <c r="F24" s="14" t="n"/>
      <c r="G24" s="14" t="n"/>
      <c r="H24" s="14" t="n">
        <v>1</v>
      </c>
    </row>
    <row r="25">
      <c r="A25" s="14" t="inlineStr">
        <is>
          <t>FullySigned_Allonge_II_Virtual_Vaults_Nederland.pdf</t>
        </is>
      </c>
      <c r="B25" s="14" t="n"/>
      <c r="C25" s="15" t="inlineStr">
        <is>
          <t>Y</t>
        </is>
      </c>
      <c r="D25" s="14" t="n"/>
      <c r="E25" s="14" t="n"/>
      <c r="F25" s="14" t="n"/>
      <c r="G25" s="14" t="n"/>
      <c r="H25" s="14" t="n">
        <v>1</v>
      </c>
    </row>
    <row r="26">
      <c r="A26" s="14" t="inlineStr">
        <is>
          <t>FullySigned_Lease_Agreement_Neste_EDGE_Coolsingel.pdf</t>
        </is>
      </c>
      <c r="B26" s="14" t="n"/>
      <c r="C26" s="15" t="inlineStr">
        <is>
          <t>N</t>
        </is>
      </c>
      <c r="D26" s="14" t="n"/>
      <c r="E26" s="14" t="n"/>
      <c r="F26" s="14" t="n"/>
      <c r="G26" s="14" t="n"/>
      <c r="H26" s="14" t="n">
        <v>0.9528795811518325</v>
      </c>
    </row>
    <row r="27">
      <c r="A27" s="14" t="inlineStr">
        <is>
          <t>HOK Waalhaven Group (signed).pdf</t>
        </is>
      </c>
      <c r="B27" s="14" t="n"/>
      <c r="C27" s="15" t="inlineStr">
        <is>
          <t>N</t>
        </is>
      </c>
      <c r="D27" s="14" t="n"/>
      <c r="E27" s="14" t="n"/>
      <c r="F27" s="14" t="n"/>
      <c r="G27" s="14" t="n"/>
      <c r="H27" s="14" t="n">
        <v>0.9528795811518325</v>
      </c>
    </row>
    <row r="28">
      <c r="A28" s="14" t="inlineStr">
        <is>
          <t>Hovk Avans  (3e+4e+5e verd.) 20140425.pdf</t>
        </is>
      </c>
      <c r="B28" s="14" t="n"/>
      <c r="C28" s="15" t="inlineStr">
        <is>
          <t>N</t>
        </is>
      </c>
      <c r="D28" s="14" t="n"/>
      <c r="E28" s="14" t="n"/>
      <c r="F28" s="14" t="n"/>
      <c r="G28" s="14" t="n"/>
      <c r="H28" s="14" t="n">
        <v>0.9501160092807424</v>
      </c>
    </row>
    <row r="29">
      <c r="A29" s="14" t="inlineStr">
        <is>
          <t>HOVK Power4People 2025.pdf</t>
        </is>
      </c>
      <c r="B29" s="14" t="n"/>
      <c r="C29" s="15" t="inlineStr">
        <is>
          <t>N</t>
        </is>
      </c>
      <c r="D29" s="14" t="n"/>
      <c r="E29" s="14" t="n"/>
      <c r="F29" s="14" t="n"/>
      <c r="G29" s="14" t="n"/>
      <c r="H29" s="14" t="n">
        <v>0.9528795811518325</v>
      </c>
    </row>
    <row r="30">
      <c r="A30" s="14" t="inlineStr">
        <is>
          <t>Huurovereenkomst (Semmie Group B.V.) - Wilhelminasingel 19, Breda.pdf</t>
        </is>
      </c>
      <c r="B30" s="14" t="n"/>
      <c r="C30" s="15" t="inlineStr">
        <is>
          <t>N</t>
        </is>
      </c>
      <c r="D30" s="14" t="n"/>
      <c r="E30" s="14" t="n"/>
      <c r="F30" s="14" t="n"/>
      <c r="G30" s="14" t="n"/>
      <c r="H30" s="14" t="n">
        <v>1</v>
      </c>
    </row>
    <row r="31">
      <c r="A31" s="14" t="inlineStr">
        <is>
          <t>Huurovereenkomst - proces-verbaal van oplevering - sleuteloverdracht - Kennedyplein 101 - getekend.pdf</t>
        </is>
      </c>
      <c r="B31" s="14" t="n"/>
      <c r="C31" s="15" t="inlineStr">
        <is>
          <t>N</t>
        </is>
      </c>
      <c r="D31" s="14" t="n"/>
      <c r="E31" s="14" t="n"/>
      <c r="F31" s="14" t="n"/>
      <c r="G31" s="14" t="n"/>
      <c r="H31" s="14" t="n">
        <v>0.9795376029763487</v>
      </c>
    </row>
    <row r="32">
      <c r="A32" s="14" t="inlineStr">
        <is>
          <t>Huurovereenkomst Bijster 5 te Breda getekend.pdf</t>
        </is>
      </c>
      <c r="B32" s="14" t="n"/>
      <c r="C32" s="15" t="inlineStr">
        <is>
          <t>N</t>
        </is>
      </c>
      <c r="D32" s="14" t="n"/>
      <c r="E32" s="14" t="n"/>
      <c r="F32" s="14" t="n"/>
      <c r="G32" s="14" t="n"/>
      <c r="H32" s="14" t="n">
        <v>0.9528795811518325</v>
      </c>
    </row>
    <row r="33">
      <c r="A33" s="14" t="inlineStr">
        <is>
          <t>Huurovereenkomst Catena Pand Son - Skymark (Son en Breugel - NLD).pdf</t>
        </is>
      </c>
      <c r="B33" s="14" t="n"/>
      <c r="C33" s="15" t="inlineStr">
        <is>
          <t>N</t>
        </is>
      </c>
      <c r="D33" s="14" t="n"/>
      <c r="E33" s="14" t="n"/>
      <c r="F33" s="14" t="n"/>
      <c r="G33" s="14" t="n"/>
      <c r="H33" s="14" t="n">
        <v>1</v>
      </c>
    </row>
    <row r="34">
      <c r="A34" s="14" t="inlineStr">
        <is>
          <t>Huurovereenkomst KPN Opstelpunt Parallelweg 64 20130313.pdf</t>
        </is>
      </c>
      <c r="B34" s="14" t="n"/>
      <c r="C34" s="15" t="inlineStr">
        <is>
          <t>N</t>
        </is>
      </c>
      <c r="D34" s="14" t="n"/>
      <c r="E34" s="14" t="n"/>
      <c r="F34" s="14" t="n"/>
      <c r="G34" s="14" t="n"/>
      <c r="H34" s="14" t="n">
        <v>0.919772583701832</v>
      </c>
    </row>
    <row r="35">
      <c r="A35" s="14" t="inlineStr">
        <is>
          <t>Huurovereenkomst PBG Parallelweg 64 (beg.grond) 20121008.pdf</t>
        </is>
      </c>
      <c r="B35" s="14" t="n"/>
      <c r="C35" s="15" t="inlineStr">
        <is>
          <t>N</t>
        </is>
      </c>
      <c r="D35" s="14" t="n"/>
      <c r="E35" s="14" t="n"/>
      <c r="F35" s="14" t="n"/>
      <c r="G35" s="14" t="n"/>
      <c r="H35" s="14" t="n">
        <v>1</v>
      </c>
    </row>
    <row r="36">
      <c r="A36" s="14" t="inlineStr">
        <is>
          <t>MWO CBRE SPA (ITALY) CBRE_090724.pdf</t>
        </is>
      </c>
      <c r="B36" s="14" t="n"/>
      <c r="C36" s="15" t="inlineStr">
        <is>
          <t>N</t>
        </is>
      </c>
      <c r="D36" s="14" t="n"/>
      <c r="E36" s="14" t="n"/>
      <c r="F36" s="14" t="n"/>
      <c r="G36" s="14" t="n"/>
      <c r="H36" s="14" t="n">
        <v>0.9528795811518325</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Contract Terms</t>
        </is>
      </c>
      <c r="D2" s="14" t="n"/>
      <c r="E2" s="14" t="n"/>
      <c r="F2" s="14" t="n"/>
      <c r="G2" s="14" t="n"/>
      <c r="H2" s="14" t="n">
        <v>0.9820675105485231</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Contract Terms</t>
        </is>
      </c>
      <c r="D3" s="14" t="n"/>
      <c r="E3" s="14" t="n"/>
      <c r="F3" s="14" t="n"/>
      <c r="G3" s="14" t="n"/>
      <c r="H3" s="14" t="n">
        <v>0.4219210272334354</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Contract Terms</t>
        </is>
      </c>
      <c r="D4" s="14" t="n"/>
      <c r="E4" s="14" t="n"/>
      <c r="F4" s="14" t="n"/>
      <c r="G4" s="14" t="n"/>
      <c r="H4" s="14" t="n">
        <v>0.9795376029763487</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Contract Terms</t>
        </is>
      </c>
      <c r="D5" s="14" t="n"/>
      <c r="E5" s="14" t="n"/>
      <c r="F5" s="14" t="n"/>
      <c r="G5" s="14" t="n"/>
      <c r="H5" s="14" t="n">
        <v>0.9795376029763487</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Contract Terms</t>
        </is>
      </c>
      <c r="D6" s="14" t="n"/>
      <c r="E6" s="14" t="n"/>
      <c r="F6" s="14" t="n"/>
      <c r="G6" s="14" t="n"/>
      <c r="H6" s="14" t="n">
        <v>0.9795376029763487</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Contract Terms</t>
        </is>
      </c>
      <c r="D7" s="14" t="n"/>
      <c r="E7" s="14" t="n"/>
      <c r="F7" s="14" t="n"/>
      <c r="G7" s="14" t="n"/>
      <c r="H7" s="14" t="n">
        <v>0.9820675105485231</v>
      </c>
      <c r="K7" s="17" t="inlineStr">
        <is>
          <t>Total Docs Tested</t>
        </is>
      </c>
      <c r="L7" s="19">
        <f>COUNTA(A2:A36)</f>
        <v/>
      </c>
      <c r="N7" s="17" t="inlineStr">
        <is>
          <t>Total Docs Tested</t>
        </is>
      </c>
      <c r="O7" s="19">
        <f>COUNTA(A2:A36)</f>
        <v/>
      </c>
    </row>
    <row r="8">
      <c r="A8" s="14" t="inlineStr">
        <is>
          <t>20260629 HOK ADHDcentraal BV (1).pdf</t>
        </is>
      </c>
      <c r="B8" s="14" t="n"/>
      <c r="C8" s="15" t="inlineStr">
        <is>
          <t>Contract Terms</t>
        </is>
      </c>
      <c r="D8" s="14" t="n"/>
      <c r="E8" s="14" t="n"/>
      <c r="F8" s="14" t="n"/>
      <c r="G8" s="14" t="n"/>
      <c r="H8" s="14" t="n">
        <v>0.9820675105485231</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Contract Terms</t>
        </is>
      </c>
      <c r="D9" s="14" t="n"/>
      <c r="E9" s="14" t="n"/>
      <c r="F9" s="14" t="n"/>
      <c r="G9" s="14" t="n"/>
      <c r="H9" s="14" t="n">
        <v>0.9845590159644072</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Contract Terms</t>
        </is>
      </c>
      <c r="D10" s="14" t="n"/>
      <c r="E10" s="14" t="n"/>
      <c r="F10" s="14" t="n"/>
      <c r="G10" s="14" t="n"/>
      <c r="H10" s="14" t="n">
        <v>0.9820675105485231</v>
      </c>
      <c r="K10" s="20" t="inlineStr">
        <is>
          <t>Highlighted rows = file(s) not in the annotation sheet; excluded from all metrics above.</t>
        </is>
      </c>
    </row>
    <row r="11">
      <c r="A11" s="14" t="inlineStr">
        <is>
          <t>20270801 - Getekende Allonge II Advario BV.pdf</t>
        </is>
      </c>
      <c r="B11" s="14" t="n"/>
      <c r="C11" s="15" t="inlineStr">
        <is>
          <t>Contract Terms</t>
        </is>
      </c>
      <c r="D11" s="14" t="n"/>
      <c r="E11" s="14" t="n"/>
      <c r="F11" s="14" t="n"/>
      <c r="G11" s="14" t="n"/>
      <c r="H11" s="14" t="n">
        <v>0.9845590159644072</v>
      </c>
      <c r="K11" s="17" t="inlineStr">
        <is>
          <t>Validation Rules Example</t>
        </is>
      </c>
    </row>
    <row r="12">
      <c r="A12" s="14" t="inlineStr">
        <is>
          <t>240119 HOVK Spoorlaan 446-448 Tilburg signed.pdf</t>
        </is>
      </c>
      <c r="B12" s="14" t="n"/>
      <c r="C12" s="15" t="inlineStr">
        <is>
          <t>Contract Terms</t>
        </is>
      </c>
      <c r="D12" s="14" t="n"/>
      <c r="E12" s="14" t="n"/>
      <c r="F12" s="14" t="n"/>
      <c r="G12" s="14" t="n"/>
      <c r="H12" s="14" t="n">
        <v>0.9845590159644072</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Contract Terms</t>
        </is>
      </c>
      <c r="D13" s="14" t="n"/>
      <c r="E13" s="14" t="n"/>
      <c r="F13" s="14" t="n"/>
      <c r="G13" s="14" t="n"/>
      <c r="H13" s="14" t="n">
        <v>0.9820675105485231</v>
      </c>
      <c r="K13" t="n">
        <v>100</v>
      </c>
      <c r="L13" t="n">
        <v>100</v>
      </c>
      <c r="M13" t="inlineStr">
        <is>
          <t>TP</t>
        </is>
      </c>
    </row>
    <row r="14">
      <c r="A14" s="14" t="inlineStr">
        <is>
          <t>CBRE_AT_Services_ENG_-_RITUALS_CBRE signed.pdf</t>
        </is>
      </c>
      <c r="B14" s="14" t="n"/>
      <c r="C14" s="15" t="inlineStr">
        <is>
          <t>Contract Terms</t>
        </is>
      </c>
      <c r="D14" s="14" t="n"/>
      <c r="E14" s="14" t="n"/>
      <c r="F14" s="14" t="n"/>
      <c r="G14" s="14" t="n"/>
      <c r="H14" s="14" t="n">
        <v>0.9795376029763487</v>
      </c>
      <c r="L14" t="n">
        <v>100</v>
      </c>
      <c r="M14" t="inlineStr">
        <is>
          <t>FP</t>
        </is>
      </c>
    </row>
    <row r="15">
      <c r="A15" s="14" t="inlineStr">
        <is>
          <t>CBRE_Engagement_Letter_Alnylam_20260525_CLEAN_Version_signed all.pdf</t>
        </is>
      </c>
      <c r="B15" s="14" t="n"/>
      <c r="C15" s="15" t="inlineStr">
        <is>
          <t>Contract Terms</t>
        </is>
      </c>
      <c r="D15" s="14" t="n"/>
      <c r="E15" s="14" t="n"/>
      <c r="F15" s="14" t="n"/>
      <c r="G15" s="14" t="n"/>
      <c r="H15" s="14" t="n">
        <v>0.9820675105485231</v>
      </c>
      <c r="K15" t="n">
        <v>100</v>
      </c>
      <c r="L15" t="n">
        <v>200</v>
      </c>
      <c r="M15" t="inlineStr">
        <is>
          <t>FP</t>
        </is>
      </c>
    </row>
    <row r="16">
      <c r="A16" s="14" t="inlineStr">
        <is>
          <t>COMPL DEF Huurovereenkomst - Skybox - Pepperl+Fuchs - 20260204.pdf</t>
        </is>
      </c>
      <c r="B16" s="14" t="n"/>
      <c r="C16" s="15" t="inlineStr">
        <is>
          <t>Contract Terms</t>
        </is>
      </c>
      <c r="D16" s="14" t="n"/>
      <c r="E16" s="14" t="n"/>
      <c r="F16" s="14" t="n"/>
      <c r="G16" s="14" t="n"/>
      <c r="H16" s="14" t="n">
        <v>0.9795376029763487</v>
      </c>
      <c r="K16" t="n">
        <v>100</v>
      </c>
      <c r="M16" t="inlineStr">
        <is>
          <t>FN</t>
        </is>
      </c>
    </row>
    <row r="17">
      <c r="A17" s="14" t="inlineStr">
        <is>
          <t>COMPL Huurovereenkomst - Stichting CCE - Kantoorgebouw Metzpoint I Dr. Holtroplaan - Fully Signed.pdf</t>
        </is>
      </c>
      <c r="B17" s="14" t="n"/>
      <c r="C17" s="15" t="inlineStr">
        <is>
          <t>Contract Terms</t>
        </is>
      </c>
      <c r="D17" s="14" t="n"/>
      <c r="E17" s="14" t="n"/>
      <c r="F17" s="14" t="n"/>
      <c r="G17" s="14" t="n"/>
      <c r="H17" s="14" t="n">
        <v>0.4464642330987068</v>
      </c>
      <c r="M17" t="inlineStr">
        <is>
          <t>TN</t>
        </is>
      </c>
    </row>
    <row r="18">
      <c r="A18" s="14" t="inlineStr">
        <is>
          <t>COMPL Regel Partners - HOVK - Luchthavenweg 81 - 20260728.pdf</t>
        </is>
      </c>
      <c r="B18" s="14" t="n"/>
      <c r="C18" s="15" t="inlineStr">
        <is>
          <t>Contract Terms</t>
        </is>
      </c>
      <c r="D18" s="14" t="n"/>
      <c r="E18" s="14" t="n"/>
      <c r="F18" s="14" t="n"/>
      <c r="G18" s="14" t="n"/>
      <c r="H18" s="14" t="n">
        <v>0.9820675105485231</v>
      </c>
    </row>
    <row r="19">
      <c r="A19" s="14" t="inlineStr">
        <is>
          <t>COMPL_-_Onderhuurovereenkomst_Zelfstroom_B.V._-_50five_B.V._-_kantoorgebouw_Riva_-_05032026.pdf</t>
        </is>
      </c>
      <c r="B19" s="14" t="n"/>
      <c r="C19" s="15" t="inlineStr">
        <is>
          <t>Contract Terms</t>
        </is>
      </c>
      <c r="D19" s="14" t="n"/>
      <c r="E19" s="14" t="n"/>
      <c r="F19" s="14" t="n"/>
      <c r="G19" s="14" t="n"/>
      <c r="H19" s="14" t="n">
        <v>0.9845590159644072</v>
      </c>
      <c r="K19" s="17" t="inlineStr">
        <is>
          <t>Field:</t>
        </is>
      </c>
      <c r="L19" t="inlineStr">
        <is>
          <t>Lease_Comp_Details / arrangement_end_action_status_reason_type_desc</t>
        </is>
      </c>
    </row>
    <row r="20">
      <c r="A20" s="14" t="inlineStr">
        <is>
          <t>Den Bosch, Ruwekampweg 4, HOVK getekend.pdf</t>
        </is>
      </c>
      <c r="B20" s="14" t="n"/>
      <c r="C20" s="15" t="inlineStr">
        <is>
          <t>Contract Terms</t>
        </is>
      </c>
      <c r="D20" s="14" t="n"/>
      <c r="E20" s="14" t="n"/>
      <c r="F20" s="14" t="n"/>
      <c r="G20" s="14" t="n"/>
      <c r="H20" s="14" t="n">
        <v>0.9820675105485231</v>
      </c>
    </row>
    <row r="21">
      <c r="A21" s="14" t="inlineStr">
        <is>
          <t>FULLY SIGNED - COMPL Huurovereenkomst - Heijmans - Hugo de Grootlaan 23 's-Hertogenbosch V2 30-9-2025.pdf</t>
        </is>
      </c>
      <c r="B21" s="14" t="n"/>
      <c r="C21" s="15" t="inlineStr">
        <is>
          <t>Contract Terms</t>
        </is>
      </c>
      <c r="D21" s="14" t="n"/>
      <c r="E21" s="14" t="n"/>
      <c r="F21" s="14" t="n"/>
      <c r="G21" s="14" t="n"/>
      <c r="H21" s="14" t="n">
        <v>0.9820675105485231</v>
      </c>
    </row>
    <row r="22">
      <c r="A22" s="14" t="inlineStr">
        <is>
          <t>FULLY SIGNED - DEF_COMPL_Huurovereenkomst_Robo_Charge_-_Campus_Offices_-_20260220.pdf</t>
        </is>
      </c>
      <c r="B22" s="14" t="n"/>
      <c r="C22" s="15" t="inlineStr">
        <is>
          <t>Contract Terms</t>
        </is>
      </c>
      <c r="D22" s="14" t="n"/>
      <c r="E22" s="14" t="n"/>
      <c r="F22" s="14" t="n"/>
      <c r="G22" s="14" t="n"/>
      <c r="H22" s="14" t="n">
        <v>0.9845590159644072</v>
      </c>
    </row>
    <row r="23">
      <c r="A23" s="14" t="inlineStr">
        <is>
          <t>FULLY SIGNED - Onderhuurovereenkomst Aartshertogenlaan 223, `s-Hertogenbosch - Koning Willem I College B.V. 2606202.pdf</t>
        </is>
      </c>
      <c r="B23" s="14" t="n"/>
      <c r="C23" s="15" t="inlineStr">
        <is>
          <t>Contract Terms</t>
        </is>
      </c>
      <c r="D23" s="14" t="n"/>
      <c r="E23" s="14" t="n"/>
      <c r="F23" s="14" t="n"/>
      <c r="G23" s="14" t="n"/>
      <c r="H23" s="14" t="n">
        <v>0.9845590159644072</v>
      </c>
    </row>
    <row r="24">
      <c r="A24" s="14" t="inlineStr">
        <is>
          <t>FULLY SIGNED COMPL_DEF_Huurovereenkomst_Bond_Bergschot_Breda.pdf</t>
        </is>
      </c>
      <c r="B24" s="14" t="n"/>
      <c r="C24" s="15" t="inlineStr">
        <is>
          <t>Contract Terms</t>
        </is>
      </c>
      <c r="D24" s="14" t="n"/>
      <c r="E24" s="14" t="n"/>
      <c r="F24" s="14" t="n"/>
      <c r="G24" s="14" t="n"/>
      <c r="H24" s="14" t="n">
        <v>0.9795376029763487</v>
      </c>
    </row>
    <row r="25">
      <c r="A25" s="14" t="inlineStr">
        <is>
          <t>FullySigned_Allonge_II_Virtual_Vaults_Nederland.pdf</t>
        </is>
      </c>
      <c r="B25" s="14" t="n"/>
      <c r="C25" s="15" t="inlineStr">
        <is>
          <t>Occupier Has Renewed/Regeared</t>
        </is>
      </c>
      <c r="D25" s="14" t="n"/>
      <c r="E25" s="14" t="n"/>
      <c r="F25" s="14" t="n"/>
      <c r="G25" s="14" t="n"/>
      <c r="H25" s="14" t="n">
        <v>0.9820675105485231</v>
      </c>
    </row>
    <row r="26">
      <c r="A26" s="14" t="inlineStr">
        <is>
          <t>FullySigned_Lease_Agreement_Neste_EDGE_Coolsingel.pdf</t>
        </is>
      </c>
      <c r="B26" s="14" t="n"/>
      <c r="C26" s="15" t="inlineStr">
        <is>
          <t>Contract Terms</t>
        </is>
      </c>
      <c r="D26" s="14" t="n"/>
      <c r="E26" s="14" t="n"/>
      <c r="F26" s="14" t="n"/>
      <c r="G26" s="14" t="n"/>
      <c r="H26" s="14" t="n">
        <v>0.9795376029763487</v>
      </c>
    </row>
    <row r="27">
      <c r="A27" s="14" t="inlineStr">
        <is>
          <t>HOK Waalhaven Group (signed).pdf</t>
        </is>
      </c>
      <c r="B27" s="14" t="n"/>
      <c r="C27" s="15" t="inlineStr">
        <is>
          <t>Contract Terms</t>
        </is>
      </c>
      <c r="D27" s="14" t="n"/>
      <c r="E27" s="14" t="n"/>
      <c r="F27" s="14" t="n"/>
      <c r="G27" s="14" t="n"/>
      <c r="H27" s="14" t="n">
        <v>0.9820675105485231</v>
      </c>
    </row>
    <row r="28">
      <c r="A28" s="14" t="inlineStr">
        <is>
          <t>Hovk Avans  (3e+4e+5e verd.) 20140425.pdf</t>
        </is>
      </c>
      <c r="B28" s="14" t="n"/>
      <c r="C28" s="15" t="inlineStr">
        <is>
          <t>Contract Terms</t>
        </is>
      </c>
      <c r="D28" s="14" t="n"/>
      <c r="E28" s="14" t="n"/>
      <c r="F28" s="14" t="n"/>
      <c r="G28" s="14" t="n"/>
      <c r="H28" s="14" t="n">
        <v>0.9743589743589743</v>
      </c>
    </row>
    <row r="29">
      <c r="A29" s="14" t="inlineStr">
        <is>
          <t>HOVK Power4People 2025.pdf</t>
        </is>
      </c>
      <c r="B29" s="14" t="n"/>
      <c r="C29" s="15" t="inlineStr">
        <is>
          <t>Contract Terms</t>
        </is>
      </c>
      <c r="D29" s="14" t="n"/>
      <c r="E29" s="14" t="n"/>
      <c r="F29" s="14" t="n"/>
      <c r="G29" s="14" t="n"/>
      <c r="H29" s="14" t="n">
        <v>0.9820675105485231</v>
      </c>
    </row>
    <row r="30">
      <c r="A30" s="14" t="inlineStr">
        <is>
          <t>Huurovereenkomst (Semmie Group B.V.) - Wilhelminasingel 19, Breda.pdf</t>
        </is>
      </c>
      <c r="B30" s="14" t="n"/>
      <c r="C30" s="15" t="inlineStr">
        <is>
          <t>Contract Terms</t>
        </is>
      </c>
      <c r="D30" s="14" t="n"/>
      <c r="E30" s="14" t="n"/>
      <c r="F30" s="14" t="n"/>
      <c r="G30" s="14" t="n"/>
      <c r="H30" s="14" t="n">
        <v>0.9820675105485231</v>
      </c>
    </row>
    <row r="31">
      <c r="A31" s="14" t="inlineStr">
        <is>
          <t>Huurovereenkomst - proces-verbaal van oplevering - sleuteloverdracht - Kennedyplein 101 - getekend.pdf</t>
        </is>
      </c>
      <c r="B31" s="14" t="n"/>
      <c r="C31" s="15" t="inlineStr">
        <is>
          <t>Contract Terms</t>
        </is>
      </c>
      <c r="D31" s="14" t="n"/>
      <c r="E31" s="14" t="n"/>
      <c r="F31" s="14" t="n"/>
      <c r="G31" s="14" t="n"/>
      <c r="H31" s="14" t="n">
        <v>0.9820675105485231</v>
      </c>
    </row>
    <row r="32">
      <c r="A32" s="14" t="inlineStr">
        <is>
          <t>Huurovereenkomst Bijster 5 te Breda getekend.pdf</t>
        </is>
      </c>
      <c r="B32" s="14" t="n"/>
      <c r="C32" s="15" t="inlineStr">
        <is>
          <t>Contract Terms</t>
        </is>
      </c>
      <c r="D32" s="14" t="n"/>
      <c r="E32" s="14" t="n"/>
      <c r="F32" s="14" t="n"/>
      <c r="G32" s="14" t="n"/>
      <c r="H32" s="14" t="n">
        <v>0.9795376029763487</v>
      </c>
    </row>
    <row r="33">
      <c r="A33" s="14" t="inlineStr">
        <is>
          <t>Huurovereenkomst Catena Pand Son - Skymark (Son en Breugel - NLD).pdf</t>
        </is>
      </c>
      <c r="B33" s="14" t="n"/>
      <c r="C33" s="15" t="inlineStr">
        <is>
          <t>Contract Terms</t>
        </is>
      </c>
      <c r="D33" s="14" t="n"/>
      <c r="E33" s="14" t="n"/>
      <c r="F33" s="14" t="n"/>
      <c r="G33" s="14" t="n"/>
      <c r="H33" s="14" t="n">
        <v>0.9795376029763487</v>
      </c>
    </row>
    <row r="34">
      <c r="A34" s="14" t="inlineStr">
        <is>
          <t>Huurovereenkomst KPN Opstelpunt Parallelweg 64 20130313.pdf</t>
        </is>
      </c>
      <c r="B34" s="14" t="n"/>
      <c r="C34" s="15" t="inlineStr">
        <is>
          <t>Contract Terms</t>
        </is>
      </c>
      <c r="D34" s="14" t="n"/>
      <c r="E34" s="14" t="n"/>
      <c r="F34" s="14" t="n"/>
      <c r="G34" s="14" t="n"/>
      <c r="H34" s="14" t="n">
        <v>0.9845590159644072</v>
      </c>
    </row>
    <row r="35">
      <c r="A35" s="14" t="inlineStr">
        <is>
          <t>Huurovereenkomst PBG Parallelweg 64 (beg.grond) 20121008.pdf</t>
        </is>
      </c>
      <c r="B35" s="14" t="n"/>
      <c r="C35" s="15" t="inlineStr">
        <is>
          <t>Contract Terms</t>
        </is>
      </c>
      <c r="D35" s="14" t="n"/>
      <c r="E35" s="14" t="n"/>
      <c r="F35" s="14" t="n"/>
      <c r="G35" s="14" t="n"/>
      <c r="H35" s="14" t="n">
        <v>0.9820675105485231</v>
      </c>
    </row>
    <row r="36">
      <c r="A36" s="14" t="inlineStr">
        <is>
          <t>MWO CBRE SPA (ITALY) CBRE_090724.pdf</t>
        </is>
      </c>
      <c r="B36" s="14" t="n"/>
      <c r="C36" s="15" t="inlineStr">
        <is>
          <t>Contract Terms</t>
        </is>
      </c>
      <c r="D36" s="14" t="n"/>
      <c r="E36" s="14" t="n"/>
      <c r="F36" s="14" t="n"/>
      <c r="G36" s="14" t="n"/>
      <c r="H36" s="14" t="n">
        <v>0.9820675105485231</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To Expire</t>
        </is>
      </c>
      <c r="D2" s="14" t="n"/>
      <c r="E2" s="14" t="n"/>
      <c r="F2" s="14" t="n"/>
      <c r="G2" s="14" t="n"/>
      <c r="H2" s="14" t="n">
        <v>0.3582961602379075</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To Expire</t>
        </is>
      </c>
      <c r="D3" s="14" t="n"/>
      <c r="E3" s="14" t="n"/>
      <c r="F3" s="14" t="n"/>
      <c r="G3" s="14" t="n"/>
      <c r="H3" s="14" t="n">
        <v>0.9845590159644072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To Expire</t>
        </is>
      </c>
      <c r="D4" s="14" t="n"/>
      <c r="E4" s="14" t="n"/>
      <c r="F4" s="14" t="n"/>
      <c r="G4" s="14" t="n"/>
      <c r="H4" s="14" t="n">
        <v>0.9820675105485231</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To Expire</t>
        </is>
      </c>
      <c r="D5" s="14" t="n"/>
      <c r="E5" s="14" t="n"/>
      <c r="F5" s="14" t="n"/>
      <c r="G5" s="14" t="n"/>
      <c r="H5" s="14" t="n">
        <v>0.3582961602379075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To Expire</t>
        </is>
      </c>
      <c r="D6" s="14" t="n"/>
      <c r="E6" s="14" t="n"/>
      <c r="F6" s="14" t="n"/>
      <c r="G6" s="14" t="n"/>
      <c r="H6" s="14" t="n">
        <v>0.9820675105485231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To Expire</t>
        </is>
      </c>
      <c r="D7" s="14" t="n"/>
      <c r="E7" s="14" t="n"/>
      <c r="F7" s="14" t="n"/>
      <c r="G7" s="14" t="n"/>
      <c r="H7" s="14" t="n">
        <v>0.3582961602379075</v>
      </c>
      <c r="K7" s="17" t="inlineStr">
        <is>
          <t>Total Docs Tested</t>
        </is>
      </c>
      <c r="L7" s="19">
        <f>COUNTA(A2:A36)</f>
        <v/>
      </c>
      <c r="N7" s="17" t="inlineStr">
        <is>
          <t>Total Docs Tested</t>
        </is>
      </c>
      <c r="O7" s="19">
        <f>COUNTA(A2:A36)</f>
        <v/>
      </c>
    </row>
    <row r="8">
      <c r="A8" s="14" t="inlineStr">
        <is>
          <t>20260629 HOK ADHDcentraal BV (1).pdf</t>
        </is>
      </c>
      <c r="B8" s="14" t="n"/>
      <c r="C8" s="15" t="inlineStr">
        <is>
          <t>To Expire</t>
        </is>
      </c>
      <c r="D8" s="14" t="n"/>
      <c r="E8" s="14" t="n"/>
      <c r="F8" s="14" t="n"/>
      <c r="G8" s="14" t="n"/>
      <c r="H8" s="14" t="n">
        <v>0.9820675105485231</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To Expire</t>
        </is>
      </c>
      <c r="D9" s="14" t="n"/>
      <c r="E9" s="14" t="n"/>
      <c r="F9" s="14" t="n"/>
      <c r="G9" s="14" t="n"/>
      <c r="H9" s="14" t="n">
        <v>0.9795376029763487</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To Expire</t>
        </is>
      </c>
      <c r="D10" s="14" t="n"/>
      <c r="E10" s="14" t="n"/>
      <c r="F10" s="14" t="n"/>
      <c r="G10" s="14" t="n"/>
      <c r="H10" s="14" t="n">
        <v>0.3582961602379075</v>
      </c>
      <c r="K10" s="20" t="inlineStr">
        <is>
          <t>Highlighted rows = file(s) not in the annotation sheet; excluded from all metrics above.</t>
        </is>
      </c>
    </row>
    <row r="11">
      <c r="A11" s="14" t="inlineStr">
        <is>
          <t>20270801 - Getekende Allonge II Advario BV.pdf</t>
        </is>
      </c>
      <c r="B11" s="14" t="n"/>
      <c r="C11" s="15" t="inlineStr">
        <is>
          <t>To Expire</t>
        </is>
      </c>
      <c r="D11" s="14" t="n"/>
      <c r="E11" s="14" t="n"/>
      <c r="F11" s="14" t="n"/>
      <c r="G11" s="14" t="n"/>
      <c r="H11" s="14" t="n">
        <v>0.9795376029763487</v>
      </c>
      <c r="K11" s="17" t="inlineStr">
        <is>
          <t>Validation Rules Example</t>
        </is>
      </c>
    </row>
    <row r="12">
      <c r="A12" s="14" t="inlineStr">
        <is>
          <t>240119 HOVK Spoorlaan 446-448 Tilburg signed.pdf</t>
        </is>
      </c>
      <c r="B12" s="14" t="n"/>
      <c r="C12" s="15" t="inlineStr">
        <is>
          <t>To Expire</t>
        </is>
      </c>
      <c r="D12" s="14" t="n"/>
      <c r="E12" s="14" t="n"/>
      <c r="F12" s="14" t="n"/>
      <c r="G12" s="14" t="n"/>
      <c r="H12" s="14" t="n">
        <v>0.3582961602379075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To Expire</t>
        </is>
      </c>
      <c r="D13" s="14" t="n"/>
      <c r="E13" s="14" t="n"/>
      <c r="F13" s="14" t="n"/>
      <c r="G13" s="14" t="n"/>
      <c r="H13" s="14" t="n">
        <v>0.9820675105485231</v>
      </c>
      <c r="K13" t="n">
        <v>100</v>
      </c>
      <c r="L13" t="n">
        <v>100</v>
      </c>
      <c r="M13" t="inlineStr">
        <is>
          <t>TP</t>
        </is>
      </c>
    </row>
    <row r="14">
      <c r="A14" s="14" t="inlineStr">
        <is>
          <t>CBRE_AT_Services_ENG_-_RITUALS_CBRE signed.pdf</t>
        </is>
      </c>
      <c r="B14" s="14" t="n"/>
      <c r="C14" s="15" t="inlineStr">
        <is>
          <t>To Expire</t>
        </is>
      </c>
      <c r="D14" s="14" t="n"/>
      <c r="E14" s="14" t="n"/>
      <c r="F14" s="14" t="n"/>
      <c r="G14" s="14" t="n"/>
      <c r="H14" s="14" t="n">
        <v>0.9743589743589743</v>
      </c>
      <c r="L14" t="n">
        <v>100</v>
      </c>
      <c r="M14" t="inlineStr">
        <is>
          <t>FP</t>
        </is>
      </c>
    </row>
    <row r="15">
      <c r="A15" s="14" t="inlineStr">
        <is>
          <t>CBRE_Engagement_Letter_Alnylam_20260525_CLEAN_Version_signed all.pdf</t>
        </is>
      </c>
      <c r="B15" s="14" t="n"/>
      <c r="C15" s="15" t="inlineStr">
        <is>
          <t>To Expire</t>
        </is>
      </c>
      <c r="D15" s="14" t="n"/>
      <c r="E15" s="14" t="n"/>
      <c r="F15" s="14" t="n"/>
      <c r="G15" s="14" t="n"/>
      <c r="H15" s="14" t="n">
        <v>0.3579588593625846</v>
      </c>
      <c r="K15" t="n">
        <v>100</v>
      </c>
      <c r="L15" t="n">
        <v>200</v>
      </c>
      <c r="M15" t="inlineStr">
        <is>
          <t>FP</t>
        </is>
      </c>
    </row>
    <row r="16">
      <c r="A16" s="14" t="inlineStr">
        <is>
          <t>COMPL DEF Huurovereenkomst - Skybox - Pepperl+Fuchs - 20260204.pdf</t>
        </is>
      </c>
      <c r="B16" s="14" t="n"/>
      <c r="C16" s="15" t="inlineStr">
        <is>
          <t>To Expire</t>
        </is>
      </c>
      <c r="D16" s="14" t="n"/>
      <c r="E16" s="14" t="n"/>
      <c r="F16" s="14" t="n"/>
      <c r="G16" s="14" t="n"/>
      <c r="H16" s="14" t="n">
        <v>0.9795376029763487</v>
      </c>
      <c r="K16" t="n">
        <v>100</v>
      </c>
      <c r="M16" t="inlineStr">
        <is>
          <t>FN</t>
        </is>
      </c>
    </row>
    <row r="17">
      <c r="A17" s="14" t="inlineStr">
        <is>
          <t>COMPL Huurovereenkomst - Stichting CCE - Kantoorgebouw Metzpoint I Dr. Holtroplaan - Fully Signed.pdf</t>
        </is>
      </c>
      <c r="B17" s="14" t="n"/>
      <c r="C17" s="15" t="inlineStr">
        <is>
          <t>To Expire</t>
        </is>
      </c>
      <c r="D17" s="14" t="n"/>
      <c r="E17" s="14" t="n"/>
      <c r="F17" s="14" t="n"/>
      <c r="G17" s="14" t="n"/>
      <c r="H17" s="14" t="n">
        <v>0.9795376029763487</v>
      </c>
      <c r="M17" t="inlineStr">
        <is>
          <t>TN</t>
        </is>
      </c>
    </row>
    <row r="18">
      <c r="A18" s="14" t="inlineStr">
        <is>
          <t>COMPL Regel Partners - HOVK - Luchthavenweg 81 - 20260728.pdf</t>
        </is>
      </c>
      <c r="B18" s="14" t="n"/>
      <c r="C18" s="15" t="inlineStr">
        <is>
          <t>To Expire</t>
        </is>
      </c>
      <c r="D18" s="14" t="n"/>
      <c r="E18" s="14" t="n"/>
      <c r="F18" s="14" t="n"/>
      <c r="G18" s="14" t="n"/>
      <c r="H18" s="14" t="n">
        <v>0.9820675105485231</v>
      </c>
    </row>
    <row r="19">
      <c r="A19" s="14" t="inlineStr">
        <is>
          <t>COMPL_-_Onderhuurovereenkomst_Zelfstroom_B.V._-_50five_B.V._-_kantoorgebouw_Riva_-_05032026.pdf</t>
        </is>
      </c>
      <c r="B19" s="14" t="n"/>
      <c r="C19" s="15" t="inlineStr">
        <is>
          <t>To Expire</t>
        </is>
      </c>
      <c r="D19" s="14" t="n"/>
      <c r="E19" s="14" t="n"/>
      <c r="F19" s="14" t="n"/>
      <c r="G19" s="14" t="n"/>
      <c r="H19" s="14" t="n">
        <v>0.9820675105485231</v>
      </c>
      <c r="K19" s="17" t="inlineStr">
        <is>
          <t>Field:</t>
        </is>
      </c>
      <c r="L19" t="inlineStr">
        <is>
          <t>Lease_Comp_Details / arrangement_end_action_status_type_desc</t>
        </is>
      </c>
    </row>
    <row r="20">
      <c r="A20" s="14" t="inlineStr">
        <is>
          <t>Den Bosch, Ruwekampweg 4, HOVK getekend.pdf</t>
        </is>
      </c>
      <c r="B20" s="14" t="n"/>
      <c r="C20" s="15" t="inlineStr">
        <is>
          <t>To Expire</t>
        </is>
      </c>
      <c r="D20" s="14" t="n"/>
      <c r="E20" s="14" t="n"/>
      <c r="F20" s="14" t="n"/>
      <c r="G20" s="14" t="n"/>
      <c r="H20" s="14" t="n">
        <v>0.3572649572649569</v>
      </c>
    </row>
    <row r="21">
      <c r="A21" s="14" t="inlineStr">
        <is>
          <t>FULLY SIGNED - COMPL Huurovereenkomst - Heijmans - Hugo de Grootlaan 23 's-Hertogenbosch V2 30-9-2025.pdf</t>
        </is>
      </c>
      <c r="B21" s="14" t="n"/>
      <c r="C21" s="15" t="inlineStr">
        <is>
          <t>To Expire</t>
        </is>
      </c>
      <c r="D21" s="14" t="n"/>
      <c r="E21" s="14" t="n"/>
      <c r="F21" s="14" t="n"/>
      <c r="G21" s="14" t="n"/>
      <c r="H21" s="14" t="n">
        <v>0.9769683985002677</v>
      </c>
    </row>
    <row r="22">
      <c r="A22" s="14" t="inlineStr">
        <is>
          <t>FULLY SIGNED - DEF_COMPL_Huurovereenkomst_Robo_Charge_-_Campus_Offices_-_20260220.pdf</t>
        </is>
      </c>
      <c r="B22" s="14" t="n"/>
      <c r="C22" s="15" t="inlineStr">
        <is>
          <t>To Expire</t>
        </is>
      </c>
      <c r="D22" s="14" t="n"/>
      <c r="E22" s="14" t="n"/>
      <c r="F22" s="14" t="n"/>
      <c r="G22" s="14" t="n"/>
      <c r="H22" s="14" t="n">
        <v>0.3582961602379075</v>
      </c>
    </row>
    <row r="23">
      <c r="A23" s="14" t="inlineStr">
        <is>
          <t>FULLY SIGNED - Onderhuurovereenkomst Aartshertogenlaan 223, `s-Hertogenbosch - Koning Willem I College B.V. 2606202.pdf</t>
        </is>
      </c>
      <c r="B23" s="14" t="n"/>
      <c r="C23" s="15" t="inlineStr">
        <is>
          <t>To Expire</t>
        </is>
      </c>
      <c r="D23" s="14" t="n"/>
      <c r="E23" s="14" t="n"/>
      <c r="F23" s="14" t="n"/>
      <c r="G23" s="14" t="n"/>
      <c r="H23" s="14" t="n">
        <v>0.9845590159644072</v>
      </c>
    </row>
    <row r="24">
      <c r="A24" s="14" t="inlineStr">
        <is>
          <t>FULLY SIGNED COMPL_DEF_Huurovereenkomst_Bond_Bergschot_Breda.pdf</t>
        </is>
      </c>
      <c r="B24" s="14" t="n"/>
      <c r="C24" s="15" t="inlineStr">
        <is>
          <t>To Expire</t>
        </is>
      </c>
      <c r="D24" s="14" t="n"/>
      <c r="E24" s="14" t="n"/>
      <c r="F24" s="14" t="n"/>
      <c r="G24" s="14" t="n"/>
      <c r="H24" s="14" t="n">
        <v>0.3579588593625846</v>
      </c>
    </row>
    <row r="25">
      <c r="A25" s="14" t="inlineStr">
        <is>
          <t>FullySigned_Allonge_II_Virtual_Vaults_Nederland.pdf</t>
        </is>
      </c>
      <c r="B25" s="14" t="n"/>
      <c r="C25" s="15" t="inlineStr">
        <is>
          <t>To Expire</t>
        </is>
      </c>
      <c r="D25" s="14" t="n"/>
      <c r="E25" s="14" t="n"/>
      <c r="F25" s="14" t="n"/>
      <c r="G25" s="14" t="n"/>
      <c r="H25" s="14" t="n">
        <v>0.4454287857321443</v>
      </c>
    </row>
    <row r="26">
      <c r="A26" s="14" t="inlineStr">
        <is>
          <t>FullySigned_Lease_Agreement_Neste_EDGE_Coolsingel.pdf</t>
        </is>
      </c>
      <c r="B26" s="14" t="n"/>
      <c r="C26" s="15" t="inlineStr">
        <is>
          <t>To Expire</t>
        </is>
      </c>
      <c r="D26" s="14" t="n"/>
      <c r="E26" s="14" t="n"/>
      <c r="F26" s="14" t="n"/>
      <c r="G26" s="14" t="n"/>
      <c r="H26" s="14" t="n">
        <v>0.3579588593625846</v>
      </c>
    </row>
    <row r="27">
      <c r="A27" s="14" t="inlineStr">
        <is>
          <t>HOK Waalhaven Group (signed).pdf</t>
        </is>
      </c>
      <c r="B27" s="14" t="n"/>
      <c r="C27" s="15" t="inlineStr">
        <is>
          <t>To Expire</t>
        </is>
      </c>
      <c r="D27" s="14" t="n"/>
      <c r="E27" s="14" t="n"/>
      <c r="F27" s="14" t="n"/>
      <c r="G27" s="14" t="n"/>
      <c r="H27" s="14" t="n">
        <v>0.9795376029763487</v>
      </c>
    </row>
    <row r="28">
      <c r="A28" s="14" t="inlineStr">
        <is>
          <t>Hovk Avans  (3e+4e+5e verd.) 20140425.pdf</t>
        </is>
      </c>
      <c r="B28" s="14" t="n"/>
      <c r="C28" s="15" t="inlineStr">
        <is>
          <t>To Expire</t>
        </is>
      </c>
      <c r="D28" s="14" t="n"/>
      <c r="E28" s="14" t="n"/>
      <c r="F28" s="14" t="n"/>
      <c r="G28" s="14" t="n"/>
      <c r="H28" s="14" t="n">
        <v>0.3582961602379075</v>
      </c>
    </row>
    <row r="29">
      <c r="A29" s="14" t="inlineStr">
        <is>
          <t>HOVK Power4People 2025.pdf</t>
        </is>
      </c>
      <c r="B29" s="14" t="n"/>
      <c r="C29" s="15" t="inlineStr">
        <is>
          <t>To Expire</t>
        </is>
      </c>
      <c r="D29" s="14" t="n"/>
      <c r="E29" s="14" t="n"/>
      <c r="F29" s="14" t="n"/>
      <c r="G29" s="14" t="n"/>
      <c r="H29" s="14" t="n">
        <v>0.9795376029763487</v>
      </c>
    </row>
    <row r="30">
      <c r="A30" s="14" t="inlineStr">
        <is>
          <t>Huurovereenkomst (Semmie Group B.V.) - Wilhelminasingel 19, Breda.pdf</t>
        </is>
      </c>
      <c r="B30" s="14" t="n"/>
      <c r="C30" s="15" t="inlineStr">
        <is>
          <t>To Expire</t>
        </is>
      </c>
      <c r="D30" s="14" t="n"/>
      <c r="E30" s="14" t="n"/>
      <c r="F30" s="14" t="n"/>
      <c r="G30" s="14" t="n"/>
      <c r="H30" s="14" t="n">
        <v>0.3582961602379075</v>
      </c>
    </row>
    <row r="31">
      <c r="A31" s="14" t="inlineStr">
        <is>
          <t>Huurovereenkomst - proces-verbaal van oplevering - sleuteloverdracht - Kennedyplein 101 - getekend.pdf</t>
        </is>
      </c>
      <c r="B31" s="14" t="n"/>
      <c r="C31" s="15" t="inlineStr">
        <is>
          <t>To Expire</t>
        </is>
      </c>
      <c r="D31" s="14" t="n"/>
      <c r="E31" s="14" t="n"/>
      <c r="F31" s="14" t="n"/>
      <c r="G31" s="14" t="n"/>
      <c r="H31" s="14" t="n">
        <v>0.9820675105485231</v>
      </c>
    </row>
    <row r="32">
      <c r="A32" s="14" t="inlineStr">
        <is>
          <t>Huurovereenkomst Bijster 5 te Breda getekend.pdf</t>
        </is>
      </c>
      <c r="B32" s="14" t="n"/>
      <c r="C32" s="15" t="inlineStr">
        <is>
          <t>To Expire</t>
        </is>
      </c>
      <c r="D32" s="14" t="n"/>
      <c r="E32" s="14" t="n"/>
      <c r="F32" s="14" t="n"/>
      <c r="G32" s="14" t="n"/>
      <c r="H32" s="14" t="n">
        <v>0.9795376029763487</v>
      </c>
    </row>
    <row r="33">
      <c r="A33" s="14" t="inlineStr">
        <is>
          <t>Huurovereenkomst Catena Pand Son - Skymark (Son en Breugel - NLD).pdf</t>
        </is>
      </c>
      <c r="B33" s="14" t="n"/>
      <c r="C33" s="15" t="inlineStr">
        <is>
          <t>To Expire</t>
        </is>
      </c>
      <c r="D33" s="14" t="n"/>
      <c r="E33" s="14" t="n"/>
      <c r="F33" s="14" t="n"/>
      <c r="G33" s="14" t="n"/>
      <c r="H33" s="14" t="n">
        <v>0.9769683985002677</v>
      </c>
    </row>
    <row r="34">
      <c r="A34" s="14" t="inlineStr">
        <is>
          <t>Huurovereenkomst KPN Opstelpunt Parallelweg 64 20130313.pdf</t>
        </is>
      </c>
      <c r="B34" s="14" t="n"/>
      <c r="C34" s="15" t="inlineStr">
        <is>
          <t>To Expire</t>
        </is>
      </c>
      <c r="D34" s="14" t="n"/>
      <c r="E34" s="14" t="n"/>
      <c r="F34" s="14" t="n"/>
      <c r="G34" s="14" t="n"/>
      <c r="H34" s="14" t="n">
        <v>0.9820675105485231</v>
      </c>
    </row>
    <row r="35">
      <c r="A35" s="14" t="inlineStr">
        <is>
          <t>Huurovereenkomst PBG Parallelweg 64 (beg.grond) 20121008.pdf</t>
        </is>
      </c>
      <c r="B35" s="14" t="n"/>
      <c r="C35" s="15" t="inlineStr">
        <is>
          <t>To Expire</t>
        </is>
      </c>
      <c r="D35" s="14" t="n"/>
      <c r="E35" s="14" t="n"/>
      <c r="F35" s="14" t="n"/>
      <c r="G35" s="14" t="n"/>
      <c r="H35" s="14" t="n">
        <v>0.4459511913118884</v>
      </c>
    </row>
    <row r="36">
      <c r="A36" s="14" t="inlineStr">
        <is>
          <t>MWO CBRE SPA (ITALY) CBRE_090724.pdf</t>
        </is>
      </c>
      <c r="B36" s="14" t="n"/>
      <c r="C36" s="15" t="inlineStr">
        <is>
          <t>To Expire</t>
        </is>
      </c>
      <c r="D36" s="14" t="n"/>
      <c r="E36" s="14" t="n"/>
      <c r="F36" s="14" t="n"/>
      <c r="G36" s="14" t="n"/>
      <c r="H36" s="14" t="n">
        <v>0.9795376029763487</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12/31/33</t>
        </is>
      </c>
      <c r="D2" s="14" t="n"/>
      <c r="E2" s="14" t="n"/>
      <c r="F2" s="14" t="n"/>
      <c r="G2" s="14" t="n"/>
      <c r="H2" s="14" t="n">
        <v>0.9820675105485231</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12/31/29</t>
        </is>
      </c>
      <c r="D3" s="14" t="n"/>
      <c r="E3" s="14" t="n"/>
      <c r="F3" s="14" t="n"/>
      <c r="G3" s="14" t="n"/>
      <c r="H3" s="14" t="n">
        <v>0.9820675105485231</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06/30/36</t>
        </is>
      </c>
      <c r="D4" s="14" t="n"/>
      <c r="E4" s="14" t="n"/>
      <c r="F4" s="14" t="n"/>
      <c r="G4" s="14" t="n"/>
      <c r="H4" s="14" t="n">
        <v>0.928983478017362</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02/16/26</t>
        </is>
      </c>
      <c r="D5" s="14" t="n"/>
      <c r="E5" s="14" t="n"/>
      <c r="F5" s="14" t="n"/>
      <c r="G5" s="14" t="n"/>
      <c r="H5" s="14" t="n">
        <v>0.9795376029763487</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10/31/37</t>
        </is>
      </c>
      <c r="D6" s="14" t="n"/>
      <c r="E6" s="14" t="n"/>
      <c r="F6" s="14" t="n"/>
      <c r="G6" s="14" t="n"/>
      <c r="H6" s="14" t="n">
        <v>0.93475935828877</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03/01/28</t>
        </is>
      </c>
      <c r="D7" s="14" t="n"/>
      <c r="E7" s="14" t="n"/>
      <c r="F7" s="14" t="n"/>
      <c r="G7" s="14" t="n"/>
      <c r="H7" s="14" t="n">
        <v>0.9820675105485231</v>
      </c>
      <c r="K7" s="17" t="inlineStr">
        <is>
          <t>Total Docs Tested</t>
        </is>
      </c>
      <c r="L7" s="19">
        <f>COUNTA(A2:A36)</f>
        <v/>
      </c>
      <c r="N7" s="17" t="inlineStr">
        <is>
          <t>Total Docs Tested</t>
        </is>
      </c>
      <c r="O7" s="19">
        <f>COUNTA(A2:A36)</f>
        <v/>
      </c>
    </row>
    <row r="8">
      <c r="A8" s="14" t="inlineStr">
        <is>
          <t>20260629 HOK ADHDcentraal BV (1).pdf</t>
        </is>
      </c>
      <c r="B8" s="14" t="n"/>
      <c r="C8" s="15" t="inlineStr">
        <is>
          <t>08/31/30</t>
        </is>
      </c>
      <c r="D8" s="14" t="n"/>
      <c r="E8" s="14" t="n"/>
      <c r="F8" s="14" t="n"/>
      <c r="G8" s="14" t="n"/>
      <c r="H8" s="14" t="n">
        <v>0.8599316133043207</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01/01/34</t>
        </is>
      </c>
      <c r="D9" s="14" t="n"/>
      <c r="E9" s="14" t="n"/>
      <c r="F9" s="14" t="n"/>
      <c r="G9" s="14" t="n"/>
      <c r="H9" s="14" t="n">
        <v>0.9795376029763487</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09/30/28</t>
        </is>
      </c>
      <c r="D10" s="14" t="n"/>
      <c r="E10" s="14" t="n"/>
      <c r="F10" s="14" t="n"/>
      <c r="G10" s="14" t="n"/>
      <c r="H10" s="14" t="n">
        <v>0.8357252282615358</v>
      </c>
      <c r="K10" s="20" t="inlineStr">
        <is>
          <t>Highlighted rows = file(s) not in the annotation sheet; excluded from all metrics above.</t>
        </is>
      </c>
    </row>
    <row r="11">
      <c r="A11" s="14" t="inlineStr">
        <is>
          <t>20270801 - Getekende Allonge II Advario BV.pdf</t>
        </is>
      </c>
      <c r="B11" s="14" t="n"/>
      <c r="C11" s="15" t="inlineStr">
        <is>
          <t>07/31/30</t>
        </is>
      </c>
      <c r="D11" s="14" t="n"/>
      <c r="E11" s="14" t="n"/>
      <c r="F11" s="14" t="n"/>
      <c r="G11" s="14" t="n"/>
      <c r="H11" s="14" t="n">
        <v>0.9235263967196311</v>
      </c>
      <c r="K11" s="17" t="inlineStr">
        <is>
          <t>Validation Rules Example</t>
        </is>
      </c>
    </row>
    <row r="12">
      <c r="A12" s="14" t="inlineStr">
        <is>
          <t>240119 HOVK Spoorlaan 446-448 Tilburg signed.pdf</t>
        </is>
      </c>
      <c r="B12" s="14" t="n"/>
      <c r="C12" s="15" t="inlineStr">
        <is>
          <t>03/31/27</t>
        </is>
      </c>
      <c r="D12" s="14" t="n"/>
      <c r="E12" s="14" t="n"/>
      <c r="F12" s="14" t="n"/>
      <c r="G12" s="14" t="n"/>
      <c r="H12" s="14" t="n">
        <v>0.9795376029763487</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12/31/27</t>
        </is>
      </c>
      <c r="D13" s="14" t="n"/>
      <c r="E13" s="14" t="n"/>
      <c r="F13" s="14" t="n"/>
      <c r="G13" s="14" t="n"/>
      <c r="H13" s="14" t="n">
        <v>0.9500000000000001</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inlineStr">
        <is>
          <t>03/06/26</t>
        </is>
      </c>
      <c r="D15" s="14" t="n"/>
      <c r="E15" s="14" t="n"/>
      <c r="F15" s="14" t="n"/>
      <c r="G15" s="14" t="n"/>
      <c r="H15" s="14" t="n">
        <v>0.8054537326776936</v>
      </c>
      <c r="K15" t="n">
        <v>100</v>
      </c>
      <c r="L15" t="n">
        <v>200</v>
      </c>
      <c r="M15" t="inlineStr">
        <is>
          <t>FP</t>
        </is>
      </c>
    </row>
    <row r="16">
      <c r="A16" s="14" t="inlineStr">
        <is>
          <t>COMPL DEF Huurovereenkomst - Skybox - Pepperl+Fuchs - 20260204.pdf</t>
        </is>
      </c>
      <c r="B16" s="14" t="n"/>
      <c r="C16" s="15" t="inlineStr">
        <is>
          <t>11/30/31</t>
        </is>
      </c>
      <c r="D16" s="14" t="n"/>
      <c r="E16" s="14" t="n"/>
      <c r="F16" s="14" t="n"/>
      <c r="G16" s="14" t="n"/>
      <c r="H16" s="14" t="n">
        <v>0.9820675105485231</v>
      </c>
      <c r="K16" t="n">
        <v>100</v>
      </c>
      <c r="M16" t="inlineStr">
        <is>
          <t>FN</t>
        </is>
      </c>
    </row>
    <row r="17">
      <c r="A17" s="14" t="inlineStr">
        <is>
          <t>COMPL Huurovereenkomst - Stichting CCE - Kantoorgebouw Metzpoint I Dr. Holtroplaan - Fully Signed.pdf</t>
        </is>
      </c>
      <c r="B17" s="14" t="n"/>
      <c r="C17" s="15" t="inlineStr">
        <is>
          <t>04/30/35</t>
        </is>
      </c>
      <c r="D17" s="14" t="n"/>
      <c r="E17" s="14" t="n"/>
      <c r="F17" s="14" t="n"/>
      <c r="G17" s="14" t="n"/>
      <c r="H17" s="14" t="n">
        <v>0.9606741573033707</v>
      </c>
      <c r="M17" t="inlineStr">
        <is>
          <t>TN</t>
        </is>
      </c>
    </row>
    <row r="18">
      <c r="A18" s="14" t="inlineStr">
        <is>
          <t>COMPL Regel Partners - HOVK - Luchthavenweg 81 - 20260728.pdf</t>
        </is>
      </c>
      <c r="B18" s="14" t="n"/>
      <c r="C18" s="15" t="inlineStr">
        <is>
          <t>09/30/31</t>
        </is>
      </c>
      <c r="D18" s="14" t="n"/>
      <c r="E18" s="14" t="n"/>
      <c r="F18" s="14" t="n"/>
      <c r="G18" s="14" t="n"/>
      <c r="H18" s="14" t="n">
        <v>0.7622469865817603</v>
      </c>
    </row>
    <row r="19">
      <c r="A19" s="14" t="inlineStr">
        <is>
          <t>COMPL_-_Onderhuurovereenkomst_Zelfstroom_B.V._-_50five_B.V._-_kantoorgebouw_Riva_-_05032026.pdf</t>
        </is>
      </c>
      <c r="B19" s="14" t="n"/>
      <c r="C19" s="15" t="inlineStr">
        <is>
          <t>06/01/26</t>
        </is>
      </c>
      <c r="D19" s="14" t="n"/>
      <c r="E19" s="14" t="n"/>
      <c r="F19" s="14" t="n"/>
      <c r="G19" s="14" t="n"/>
      <c r="H19" s="14" t="n">
        <v>0.9820675105485231</v>
      </c>
      <c r="K19" s="17" t="inlineStr">
        <is>
          <t>Field:</t>
        </is>
      </c>
      <c r="L19" t="inlineStr">
        <is>
          <t>Lease_Comp_Details / arrangement_end_future_action_date</t>
        </is>
      </c>
    </row>
    <row r="20">
      <c r="A20" s="14" t="inlineStr">
        <is>
          <t>Den Bosch, Ruwekampweg 4, HOVK getekend.pdf</t>
        </is>
      </c>
      <c r="B20" s="14" t="n"/>
      <c r="C20" s="15" t="inlineStr">
        <is>
          <t>12/31/21</t>
        </is>
      </c>
      <c r="D20" s="14" t="n"/>
      <c r="E20" s="14" t="n"/>
      <c r="F20" s="14" t="n"/>
      <c r="G20" s="14" t="n"/>
      <c r="H20" s="14" t="n">
        <v>0.9235263967196311</v>
      </c>
    </row>
    <row r="21">
      <c r="A21" s="14" t="inlineStr">
        <is>
          <t>FULLY SIGNED - COMPL Huurovereenkomst - Heijmans - Hugo de Grootlaan 23 's-Hertogenbosch V2 30-9-2025.pdf</t>
        </is>
      </c>
      <c r="B21" s="14" t="n"/>
      <c r="C21" s="15" t="inlineStr">
        <is>
          <t>09/30/26</t>
        </is>
      </c>
      <c r="D21" s="14" t="n"/>
      <c r="E21" s="14" t="n"/>
      <c r="F21" s="14" t="n"/>
      <c r="G21" s="14" t="n"/>
      <c r="H21" s="14" t="n">
        <v>0.8319526627218936</v>
      </c>
    </row>
    <row r="22">
      <c r="A22" s="14" t="inlineStr">
        <is>
          <t>FULLY SIGNED - DEF_COMPL_Huurovereenkomst_Robo_Charge_-_Campus_Offices_-_20260220.pdf</t>
        </is>
      </c>
      <c r="B22" s="14" t="n"/>
      <c r="C22" s="15" t="inlineStr">
        <is>
          <t>03/31/31</t>
        </is>
      </c>
      <c r="D22" s="14" t="n"/>
      <c r="E22" s="14" t="n"/>
      <c r="F22" s="14" t="n"/>
      <c r="G22" s="14" t="n"/>
      <c r="H22" s="14" t="n">
        <v>0.8130287125656067</v>
      </c>
    </row>
    <row r="23">
      <c r="A23" s="14" t="inlineStr">
        <is>
          <t>FULLY SIGNED - Onderhuurovereenkomst Aartshertogenlaan 223, `s-Hertogenbosch - Koning Willem I College B.V. 2606202.pdf</t>
        </is>
      </c>
      <c r="B23" s="14" t="n"/>
      <c r="C23" s="15" t="inlineStr">
        <is>
          <t>11/01/28</t>
        </is>
      </c>
      <c r="D23" s="14" t="n"/>
      <c r="E23" s="14" t="n"/>
      <c r="F23" s="14" t="n"/>
      <c r="G23" s="14" t="n"/>
      <c r="H23" s="14" t="n">
        <v>0.7398675496688742</v>
      </c>
    </row>
    <row r="24">
      <c r="A24" s="14" t="inlineStr">
        <is>
          <t>FULLY SIGNED COMPL_DEF_Huurovereenkomst_Bond_Bergschot_Breda.pdf</t>
        </is>
      </c>
      <c r="B24" s="14" t="n"/>
      <c r="C24" s="15" t="inlineStr">
        <is>
          <t>12/31/28</t>
        </is>
      </c>
      <c r="D24" s="14" t="n"/>
      <c r="E24" s="14" t="n"/>
      <c r="F24" s="14" t="n"/>
      <c r="G24" s="14" t="n"/>
      <c r="H24" s="14" t="n">
        <v>0.9820675105485231</v>
      </c>
    </row>
    <row r="25">
      <c r="A25" s="14" t="inlineStr">
        <is>
          <t>FullySigned_Allonge_II_Virtual_Vaults_Nederland.pdf</t>
        </is>
      </c>
      <c r="B25" s="14" t="n"/>
      <c r="C25" s="15" t="inlineStr">
        <is>
          <t>10/31/27</t>
        </is>
      </c>
      <c r="D25" s="14" t="n"/>
      <c r="E25" s="14" t="n"/>
      <c r="F25" s="14" t="n"/>
      <c r="G25" s="14" t="n"/>
      <c r="H25" s="14" t="n">
        <v>0.9743589743589743</v>
      </c>
    </row>
    <row r="26">
      <c r="A26" s="14" t="inlineStr">
        <is>
          <t>FullySigned_Lease_Agreement_Neste_EDGE_Coolsingel.pdf</t>
        </is>
      </c>
      <c r="B26" s="14" t="n"/>
      <c r="C26" s="15" t="inlineStr">
        <is>
          <t>07/31/37</t>
        </is>
      </c>
      <c r="D26" s="14" t="n"/>
      <c r="E26" s="14" t="n"/>
      <c r="F26" s="14" t="n"/>
      <c r="G26" s="14" t="n"/>
      <c r="H26" s="14" t="n">
        <v>0.9235263967196311</v>
      </c>
    </row>
    <row r="27">
      <c r="A27" s="14" t="inlineStr">
        <is>
          <t>HOK Waalhaven Group (signed).pdf</t>
        </is>
      </c>
      <c r="B27" s="14" t="n"/>
      <c r="C27" s="15" t="inlineStr">
        <is>
          <t>08/31/31</t>
        </is>
      </c>
      <c r="D27" s="14" t="n"/>
      <c r="E27" s="14" t="n"/>
      <c r="F27" s="14" t="n"/>
      <c r="G27" s="14" t="n"/>
      <c r="H27" s="14" t="n">
        <v>0.658648744251857</v>
      </c>
    </row>
    <row r="28">
      <c r="A28" s="14" t="inlineStr">
        <is>
          <t>Hovk Avans  (3e+4e+5e verd.) 20140425.pdf</t>
        </is>
      </c>
      <c r="B28" s="14" t="n"/>
      <c r="C28" s="15" t="inlineStr">
        <is>
          <t>06/30/19</t>
        </is>
      </c>
      <c r="D28" s="14" t="n"/>
      <c r="E28" s="14" t="n"/>
      <c r="F28" s="14" t="n"/>
      <c r="G28" s="14" t="n"/>
      <c r="H28" s="14" t="n">
        <v>0.8357252282615358</v>
      </c>
    </row>
    <row r="29">
      <c r="A29" s="14" t="inlineStr">
        <is>
          <t>HOVK Power4People 2025.pdf</t>
        </is>
      </c>
      <c r="B29" s="14" t="n"/>
      <c r="C29" s="15" t="inlineStr">
        <is>
          <t>06/30/26</t>
        </is>
      </c>
      <c r="D29" s="14" t="n"/>
      <c r="E29" s="14" t="n"/>
      <c r="F29" s="14" t="n"/>
      <c r="G29" s="14" t="n"/>
      <c r="H29" s="14" t="n">
        <v>0.8726842261023972</v>
      </c>
    </row>
    <row r="30">
      <c r="A30" s="14" t="inlineStr">
        <is>
          <t>Huurovereenkomst (Semmie Group B.V.) - Wilhelminasingel 19, Breda.pdf</t>
        </is>
      </c>
      <c r="B30" s="14" t="n"/>
      <c r="C30" s="15" t="inlineStr">
        <is>
          <t>04/30/29</t>
        </is>
      </c>
      <c r="D30" s="14" t="n"/>
      <c r="E30" s="14" t="n"/>
      <c r="F30" s="14" t="n"/>
      <c r="G30" s="14" t="n"/>
      <c r="H30" s="14" t="n">
        <v>0.8078456184751662</v>
      </c>
    </row>
    <row r="31">
      <c r="A31" s="14" t="inlineStr">
        <is>
          <t>Huurovereenkomst - proces-verbaal van oplevering - sleuteloverdracht - Kennedyplein 101 - getekend.pdf</t>
        </is>
      </c>
      <c r="B31" s="14" t="n"/>
      <c r="C31" s="15" t="inlineStr">
        <is>
          <t>02/28/29</t>
        </is>
      </c>
      <c r="D31" s="14" t="n"/>
      <c r="E31" s="14" t="n"/>
      <c r="F31" s="14" t="n"/>
      <c r="G31" s="14" t="n"/>
      <c r="H31" s="14" t="n">
        <v>0.9795376029763487</v>
      </c>
    </row>
    <row r="32">
      <c r="A32" s="14" t="inlineStr">
        <is>
          <t>Huurovereenkomst Bijster 5 te Breda getekend.pdf</t>
        </is>
      </c>
      <c r="B32" s="14" t="n"/>
      <c r="C32" s="15" t="inlineStr">
        <is>
          <t>12/31/35</t>
        </is>
      </c>
      <c r="D32" s="14" t="n"/>
      <c r="E32" s="14" t="n"/>
      <c r="F32" s="14" t="n"/>
      <c r="G32" s="14" t="n"/>
      <c r="H32" s="14" t="n">
        <v>0.9820675105485231</v>
      </c>
    </row>
    <row r="33">
      <c r="A33" s="14" t="inlineStr">
        <is>
          <t>Huurovereenkomst Catena Pand Son - Skymark (Son en Breugel - NLD).pdf</t>
        </is>
      </c>
      <c r="B33" s="14" t="n"/>
      <c r="C33" s="15" t="inlineStr">
        <is>
          <t>04/30/24</t>
        </is>
      </c>
      <c r="D33" s="14" t="n"/>
      <c r="E33" s="14" t="n"/>
      <c r="F33" s="14" t="n"/>
      <c r="G33" s="14" t="n"/>
      <c r="H33" s="14" t="n">
        <v>0.9820675105485231</v>
      </c>
    </row>
    <row r="34">
      <c r="A34" s="14" t="inlineStr">
        <is>
          <t>Huurovereenkomst KPN Opstelpunt Parallelweg 64 20130313.pdf</t>
        </is>
      </c>
      <c r="B34" s="14" t="n"/>
      <c r="C34" s="15" t="inlineStr">
        <is>
          <t>10/31/30</t>
        </is>
      </c>
      <c r="D34" s="14" t="n"/>
      <c r="E34" s="14" t="n"/>
      <c r="F34" s="14" t="n"/>
      <c r="G34" s="14" t="n"/>
      <c r="H34" s="14" t="n">
        <v>0.9743589743589743</v>
      </c>
    </row>
    <row r="35">
      <c r="A35" s="14" t="inlineStr">
        <is>
          <t>Huurovereenkomst PBG Parallelweg 64 (beg.grond) 20121008.pdf</t>
        </is>
      </c>
      <c r="B35" s="14" t="n"/>
      <c r="C35" s="15" t="inlineStr">
        <is>
          <t>09/30/25</t>
        </is>
      </c>
      <c r="D35" s="14" t="n"/>
      <c r="E35" s="14" t="n"/>
      <c r="F35" s="14" t="n"/>
      <c r="G35" s="14" t="n"/>
      <c r="H35" s="14" t="n">
        <v>0.8375661054039268</v>
      </c>
    </row>
    <row r="36">
      <c r="A36" s="14" t="inlineStr">
        <is>
          <t>MWO CBRE SPA (ITALY) CBRE_090724.pdf</t>
        </is>
      </c>
      <c r="B36" s="14" t="n"/>
      <c r="C36" s="15" t="inlineStr">
        <is>
          <t>09/24/24</t>
        </is>
      </c>
      <c r="D36" s="14" t="n"/>
      <c r="E36" s="14" t="n"/>
      <c r="F36" s="14" t="n"/>
      <c r="G36" s="14" t="n"/>
      <c r="H36" s="14" t="n">
        <v>0.9049723756906077</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To Be Revisited</t>
        </is>
      </c>
      <c r="D2" s="14" t="n"/>
      <c r="E2" s="14" t="n"/>
      <c r="F2" s="14" t="n"/>
      <c r="G2" s="14" t="n"/>
      <c r="H2" s="14" t="n">
        <v>0.9690156292843433</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To Be Revisited</t>
        </is>
      </c>
      <c r="D3" s="14" t="n"/>
      <c r="E3" s="14" t="n"/>
      <c r="F3" s="14" t="n"/>
      <c r="G3" s="14" t="n"/>
      <c r="H3" s="14" t="n">
        <v>0.9845590159644072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To Be Revisited</t>
        </is>
      </c>
      <c r="D4" s="14" t="n"/>
      <c r="E4" s="14" t="n"/>
      <c r="F4" s="14" t="n"/>
      <c r="G4" s="14" t="n"/>
      <c r="H4" s="14" t="n">
        <v>0.9795376029763487</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To Be Revisited</t>
        </is>
      </c>
      <c r="D5" s="14" t="n"/>
      <c r="E5" s="14" t="n"/>
      <c r="F5" s="14" t="n"/>
      <c r="G5" s="14" t="n"/>
      <c r="H5" s="14" t="n">
        <v>0.9743589743589743</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To Be Revisited</t>
        </is>
      </c>
      <c r="D6" s="14" t="n"/>
      <c r="E6" s="14" t="n"/>
      <c r="F6" s="14" t="n"/>
      <c r="G6" s="14" t="n"/>
      <c r="H6" s="14" t="n">
        <v>0.9820675105485231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New Break Date</t>
        </is>
      </c>
      <c r="D7" s="14" t="n"/>
      <c r="E7" s="14" t="n"/>
      <c r="F7" s="14" t="n"/>
      <c r="G7" s="14" t="n"/>
      <c r="H7" s="14" t="n">
        <v>0.9795376029763487</v>
      </c>
      <c r="K7" s="17" t="inlineStr">
        <is>
          <t>Total Docs Tested</t>
        </is>
      </c>
      <c r="L7" s="19">
        <f>COUNTA(A2:A36)</f>
        <v/>
      </c>
      <c r="N7" s="17" t="inlineStr">
        <is>
          <t>Total Docs Tested</t>
        </is>
      </c>
      <c r="O7" s="19">
        <f>COUNTA(A2:A36)</f>
        <v/>
      </c>
    </row>
    <row r="8">
      <c r="A8" s="14" t="inlineStr">
        <is>
          <t>20260629 HOK ADHDcentraal BV (1).pdf</t>
        </is>
      </c>
      <c r="B8" s="14" t="n"/>
      <c r="C8" s="15" t="inlineStr">
        <is>
          <t>To Be Revisited</t>
        </is>
      </c>
      <c r="D8" s="14" t="n"/>
      <c r="E8" s="14" t="n"/>
      <c r="F8" s="14" t="n"/>
      <c r="G8" s="14" t="n"/>
      <c r="H8" s="14" t="n">
        <v>0.9528795811518325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New Break Date</t>
        </is>
      </c>
      <c r="D9" s="14" t="n"/>
      <c r="E9" s="14" t="n"/>
      <c r="F9" s="14" t="n"/>
      <c r="G9" s="14" t="n"/>
      <c r="H9" s="14" t="n">
        <v>0.9845590159644072</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To Be Revisited</t>
        </is>
      </c>
      <c r="D10" s="14" t="n"/>
      <c r="E10" s="14" t="n"/>
      <c r="F10" s="14" t="n"/>
      <c r="G10" s="14" t="n"/>
      <c r="H10" s="14" t="n">
        <v>0.9845590159644072</v>
      </c>
      <c r="K10" s="20" t="inlineStr">
        <is>
          <t>Highlighted rows = file(s) not in the annotation sheet; excluded from all metrics above.</t>
        </is>
      </c>
    </row>
    <row r="11">
      <c r="A11" s="14" t="inlineStr">
        <is>
          <t>20270801 - Getekende Allonge II Advario BV.pdf</t>
        </is>
      </c>
      <c r="B11" s="14" t="n"/>
      <c r="C11" s="15" t="inlineStr">
        <is>
          <t>To Be Revisited</t>
        </is>
      </c>
      <c r="D11" s="14" t="n"/>
      <c r="E11" s="14" t="n"/>
      <c r="F11" s="14" t="n"/>
      <c r="G11" s="14" t="n"/>
      <c r="H11" s="14" t="n">
        <v>0.592028985507246</v>
      </c>
      <c r="K11" s="17" t="inlineStr">
        <is>
          <t>Validation Rules Example</t>
        </is>
      </c>
    </row>
    <row r="12">
      <c r="A12" s="14" t="inlineStr">
        <is>
          <t>240119 HOVK Spoorlaan 446-448 Tilburg signed.pdf</t>
        </is>
      </c>
      <c r="B12" s="14" t="n"/>
      <c r="C12" s="15" t="inlineStr">
        <is>
          <t>To Be Revisited</t>
        </is>
      </c>
      <c r="D12" s="14" t="n"/>
      <c r="E12" s="14" t="n"/>
      <c r="F12" s="14" t="n"/>
      <c r="G12" s="14" t="n"/>
      <c r="H12" s="14" t="n">
        <v>0.592028985507246</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To Be Revisited</t>
        </is>
      </c>
      <c r="D13" s="14" t="n"/>
      <c r="E13" s="14" t="n"/>
      <c r="F13" s="14" t="n"/>
      <c r="G13" s="14" t="n"/>
      <c r="H13" s="14" t="n">
        <v>0.9795376029763487</v>
      </c>
      <c r="K13" t="n">
        <v>100</v>
      </c>
      <c r="L13" t="n">
        <v>100</v>
      </c>
      <c r="M13" t="inlineStr">
        <is>
          <t>TP</t>
        </is>
      </c>
    </row>
    <row r="14">
      <c r="A14" s="14" t="inlineStr">
        <is>
          <t>CBRE_AT_Services_ENG_-_RITUALS_CBRE signed.pdf</t>
        </is>
      </c>
      <c r="B14" s="14" t="n"/>
      <c r="C14" s="15" t="inlineStr">
        <is>
          <t>To Be Revisited</t>
        </is>
      </c>
      <c r="D14" s="14" t="n"/>
      <c r="E14" s="14" t="n"/>
      <c r="F14" s="14" t="n"/>
      <c r="G14" s="14" t="n"/>
      <c r="H14" s="14" t="n">
        <v>0.9743589743589743</v>
      </c>
      <c r="L14" t="n">
        <v>100</v>
      </c>
      <c r="M14" t="inlineStr">
        <is>
          <t>FP</t>
        </is>
      </c>
    </row>
    <row r="15">
      <c r="A15" s="14" t="inlineStr">
        <is>
          <t>CBRE_Engagement_Letter_Alnylam_20260525_CLEAN_Version_signed all.pdf</t>
        </is>
      </c>
      <c r="B15" s="14" t="n"/>
      <c r="C15" s="15" t="inlineStr">
        <is>
          <t>To Be Revisited</t>
        </is>
      </c>
      <c r="D15" s="14" t="n"/>
      <c r="E15" s="14" t="n"/>
      <c r="F15" s="14" t="n"/>
      <c r="G15" s="14" t="n"/>
      <c r="H15" s="14" t="n">
        <v>0.491784385129457</v>
      </c>
      <c r="K15" t="n">
        <v>100</v>
      </c>
      <c r="L15" t="n">
        <v>200</v>
      </c>
      <c r="M15" t="inlineStr">
        <is>
          <t>FP</t>
        </is>
      </c>
    </row>
    <row r="16">
      <c r="A16" s="14" t="inlineStr">
        <is>
          <t>COMPL DEF Huurovereenkomst - Skybox - Pepperl+Fuchs - 20260204.pdf</t>
        </is>
      </c>
      <c r="B16" s="14" t="n"/>
      <c r="C16" s="15" t="inlineStr">
        <is>
          <t>To Be Revisited</t>
        </is>
      </c>
      <c r="D16" s="14" t="n"/>
      <c r="E16" s="14" t="n"/>
      <c r="F16" s="14" t="n"/>
      <c r="G16" s="14" t="n"/>
      <c r="H16" s="14" t="n">
        <v>0.9795376029763487</v>
      </c>
      <c r="K16" t="n">
        <v>100</v>
      </c>
      <c r="M16" t="inlineStr">
        <is>
          <t>FN</t>
        </is>
      </c>
    </row>
    <row r="17">
      <c r="A17" s="14" t="inlineStr">
        <is>
          <t>COMPL Huurovereenkomst - Stichting CCE - Kantoorgebouw Metzpoint I Dr. Holtroplaan - Fully Signed.pdf</t>
        </is>
      </c>
      <c r="B17" s="14" t="n"/>
      <c r="C17" s="15" t="inlineStr">
        <is>
          <t>To Be Revisited</t>
        </is>
      </c>
      <c r="D17" s="14" t="n"/>
      <c r="E17" s="14" t="n"/>
      <c r="F17" s="14" t="n"/>
      <c r="G17" s="14" t="n"/>
      <c r="H17" s="14" t="n">
        <v>0.9820675105485231</v>
      </c>
      <c r="M17" t="inlineStr">
        <is>
          <t>TN</t>
        </is>
      </c>
    </row>
    <row r="18">
      <c r="A18" s="14" t="inlineStr">
        <is>
          <t>COMPL Regel Partners - HOVK - Luchthavenweg 81 - 20260728.pdf</t>
        </is>
      </c>
      <c r="B18" s="14" t="n"/>
      <c r="C18" s="15" t="inlineStr">
        <is>
          <t>To Be Revisited</t>
        </is>
      </c>
      <c r="D18" s="14" t="n"/>
      <c r="E18" s="14" t="n"/>
      <c r="F18" s="14" t="n"/>
      <c r="G18" s="14" t="n"/>
      <c r="H18" s="14" t="n">
        <v>0.9795376029763487</v>
      </c>
    </row>
    <row r="19">
      <c r="A19" s="14" t="inlineStr">
        <is>
          <t>COMPL_-_Onderhuurovereenkomst_Zelfstroom_B.V._-_50five_B.V._-_kantoorgebouw_Riva_-_05032026.pdf</t>
        </is>
      </c>
      <c r="B19" s="14" t="n"/>
      <c r="C19" s="15" t="inlineStr">
        <is>
          <t>To Be Revisited</t>
        </is>
      </c>
      <c r="D19" s="14" t="n"/>
      <c r="E19" s="14" t="n"/>
      <c r="F19" s="14" t="n"/>
      <c r="G19" s="14" t="n"/>
      <c r="H19" s="14" t="n">
        <v>0.9820675105485231</v>
      </c>
      <c r="K19" s="17" t="inlineStr">
        <is>
          <t>Field:</t>
        </is>
      </c>
      <c r="L19" t="inlineStr">
        <is>
          <t>Lease_Comp_Details / arrangement_end_future_action_type_desc</t>
        </is>
      </c>
    </row>
    <row r="20">
      <c r="A20" s="14" t="inlineStr">
        <is>
          <t>Den Bosch, Ruwekampweg 4, HOVK getekend.pdf</t>
        </is>
      </c>
      <c r="B20" s="14" t="n"/>
      <c r="C20" s="15" t="inlineStr">
        <is>
          <t>New Break Date</t>
        </is>
      </c>
      <c r="D20" s="14" t="n"/>
      <c r="E20" s="14" t="n"/>
      <c r="F20" s="14" t="n"/>
      <c r="G20" s="14" t="n"/>
      <c r="H20" s="14" t="n">
        <v>0.9820675105485231</v>
      </c>
    </row>
    <row r="21">
      <c r="A21" s="14" t="inlineStr">
        <is>
          <t>FULLY SIGNED - COMPL Huurovereenkomst - Heijmans - Hugo de Grootlaan 23 's-Hertogenbosch V2 30-9-2025.pdf</t>
        </is>
      </c>
      <c r="B21" s="14" t="n"/>
      <c r="C21" s="15" t="inlineStr">
        <is>
          <t>To Be Revisited</t>
        </is>
      </c>
      <c r="D21" s="14" t="n"/>
      <c r="E21" s="14" t="n"/>
      <c r="F21" s="14" t="n"/>
      <c r="G21" s="14" t="n"/>
      <c r="H21" s="14" t="n">
        <v>0.9795376029763487</v>
      </c>
    </row>
    <row r="22">
      <c r="A22" s="14" t="inlineStr">
        <is>
          <t>FULLY SIGNED - DEF_COMPL_Huurovereenkomst_Robo_Charge_-_Campus_Offices_-_20260220.pdf</t>
        </is>
      </c>
      <c r="B22" s="14" t="n"/>
      <c r="C22" s="15" t="inlineStr">
        <is>
          <t>To Be Revisited</t>
        </is>
      </c>
      <c r="D22" s="14" t="n"/>
      <c r="E22" s="14" t="n"/>
      <c r="F22" s="14" t="n"/>
      <c r="G22" s="14" t="n"/>
      <c r="H22" s="14" t="n">
        <v>0.5948660797206431</v>
      </c>
    </row>
    <row r="23">
      <c r="A23" s="14" t="inlineStr">
        <is>
          <t>FULLY SIGNED - Onderhuurovereenkomst Aartshertogenlaan 223, `s-Hertogenbosch - Koning Willem I College B.V. 2606202.pdf</t>
        </is>
      </c>
      <c r="B23" s="14" t="n"/>
      <c r="C23" s="15" t="inlineStr">
        <is>
          <t>To Be Revisited</t>
        </is>
      </c>
      <c r="D23" s="14" t="n"/>
      <c r="E23" s="14" t="n"/>
      <c r="F23" s="14" t="n"/>
      <c r="G23" s="14" t="n"/>
      <c r="H23" s="14" t="n">
        <v>0.9662797125483693</v>
      </c>
    </row>
    <row r="24">
      <c r="A24" s="14" t="inlineStr">
        <is>
          <t>FULLY SIGNED COMPL_DEF_Huurovereenkomst_Bond_Bergschot_Breda.pdf</t>
        </is>
      </c>
      <c r="B24" s="14" t="n"/>
      <c r="C24" s="15" t="inlineStr">
        <is>
          <t>To Be Revisited</t>
        </is>
      </c>
      <c r="D24" s="14" t="n"/>
      <c r="E24" s="14" t="n"/>
      <c r="F24" s="14" t="n"/>
      <c r="G24" s="14" t="n"/>
      <c r="H24" s="14" t="n">
        <v>0.9820675105485231</v>
      </c>
    </row>
    <row r="25">
      <c r="A25" s="14" t="inlineStr">
        <is>
          <t>FullySigned_Allonge_II_Virtual_Vaults_Nederland.pdf</t>
        </is>
      </c>
      <c r="B25" s="14" t="n"/>
      <c r="C25" s="15" t="inlineStr">
        <is>
          <t>To Be Revisited</t>
        </is>
      </c>
      <c r="D25" s="14" t="n"/>
      <c r="E25" s="14" t="n"/>
      <c r="F25" s="14" t="n"/>
      <c r="G25" s="14" t="n"/>
      <c r="H25" s="14" t="n">
        <v>0.9795376029763487</v>
      </c>
    </row>
    <row r="26">
      <c r="A26" s="14" t="inlineStr">
        <is>
          <t>FullySigned_Lease_Agreement_Neste_EDGE_Coolsingel.pdf</t>
        </is>
      </c>
      <c r="B26" s="14" t="n"/>
      <c r="C26" s="15" t="inlineStr">
        <is>
          <t>To Be Revisited</t>
        </is>
      </c>
      <c r="D26" s="14" t="n"/>
      <c r="E26" s="14" t="n"/>
      <c r="F26" s="14" t="n"/>
      <c r="G26" s="14" t="n"/>
      <c r="H26" s="14" t="n">
        <v>0.4924083769633508</v>
      </c>
    </row>
    <row r="27">
      <c r="A27" s="14" t="inlineStr">
        <is>
          <t>HOK Waalhaven Group (signed).pdf</t>
        </is>
      </c>
      <c r="B27" s="14" t="n"/>
      <c r="C27" s="15" t="inlineStr">
        <is>
          <t>To Be Revisited</t>
        </is>
      </c>
      <c r="D27" s="14" t="n"/>
      <c r="E27" s="14" t="n"/>
      <c r="F27" s="14" t="n"/>
      <c r="G27" s="14" t="n"/>
      <c r="H27" s="14" t="n">
        <v>0.9795376029763487</v>
      </c>
    </row>
    <row r="28">
      <c r="A28" s="14" t="inlineStr">
        <is>
          <t>Hovk Avans  (3e+4e+5e verd.) 20140425.pdf</t>
        </is>
      </c>
      <c r="B28" s="14" t="n"/>
      <c r="C28" s="15" t="inlineStr">
        <is>
          <t>To Be Revisited</t>
        </is>
      </c>
      <c r="D28" s="14" t="n"/>
      <c r="E28" s="14" t="n"/>
      <c r="F28" s="14" t="n"/>
      <c r="G28" s="14" t="n"/>
      <c r="H28" s="14" t="n">
        <v>0.592028985507246</v>
      </c>
    </row>
    <row r="29">
      <c r="A29" s="14" t="inlineStr">
        <is>
          <t>HOVK Power4People 2025.pdf</t>
        </is>
      </c>
      <c r="B29" s="14" t="n"/>
      <c r="C29" s="15" t="inlineStr">
        <is>
          <t>To Be Revisited</t>
        </is>
      </c>
      <c r="D29" s="14" t="n"/>
      <c r="E29" s="14" t="n"/>
      <c r="F29" s="14" t="n"/>
      <c r="G29" s="14" t="n"/>
      <c r="H29" s="14" t="n">
        <v>0.9820675105485231</v>
      </c>
    </row>
    <row r="30">
      <c r="A30" s="14" t="inlineStr">
        <is>
          <t>Huurovereenkomst (Semmie Group B.V.) - Wilhelminasingel 19, Breda.pdf</t>
        </is>
      </c>
      <c r="B30" s="14" t="n"/>
      <c r="C30" s="15" t="inlineStr">
        <is>
          <t>To Be Revisited</t>
        </is>
      </c>
      <c r="D30" s="14" t="n"/>
      <c r="E30" s="14" t="n"/>
      <c r="F30" s="14" t="n"/>
      <c r="G30" s="14" t="n"/>
      <c r="H30" s="14" t="n">
        <v>0.9820675105485231</v>
      </c>
    </row>
    <row r="31">
      <c r="A31" s="14" t="inlineStr">
        <is>
          <t>Huurovereenkomst - proces-verbaal van oplevering - sleuteloverdracht - Kennedyplein 101 - getekend.pdf</t>
        </is>
      </c>
      <c r="B31" s="14" t="n"/>
      <c r="C31" s="15" t="inlineStr">
        <is>
          <t>To Be Revisited</t>
        </is>
      </c>
      <c r="D31" s="14" t="n"/>
      <c r="E31" s="14" t="n"/>
      <c r="F31" s="14" t="n"/>
      <c r="G31" s="14" t="n"/>
      <c r="H31" s="14" t="n">
        <v>0.9795376029763487</v>
      </c>
    </row>
    <row r="32">
      <c r="A32" s="14" t="inlineStr">
        <is>
          <t>Huurovereenkomst Bijster 5 te Breda getekend.pdf</t>
        </is>
      </c>
      <c r="B32" s="14" t="n"/>
      <c r="C32" s="15" t="inlineStr">
        <is>
          <t>To Be Revisited</t>
        </is>
      </c>
      <c r="D32" s="14" t="n"/>
      <c r="E32" s="14" t="n"/>
      <c r="F32" s="14" t="n"/>
      <c r="G32" s="14" t="n"/>
      <c r="H32" s="14" t="n">
        <v>0.9845590159644072</v>
      </c>
    </row>
    <row r="33">
      <c r="A33" s="14" t="inlineStr">
        <is>
          <t>Huurovereenkomst Catena Pand Son - Skymark (Son en Breugel - NLD).pdf</t>
        </is>
      </c>
      <c r="B33" s="14" t="n"/>
      <c r="C33" s="15" t="inlineStr">
        <is>
          <t>To Be Revisited</t>
        </is>
      </c>
      <c r="D33" s="14" t="n"/>
      <c r="E33" s="14" t="n"/>
      <c r="F33" s="14" t="n"/>
      <c r="G33" s="14" t="n"/>
      <c r="H33" s="14" t="n">
        <v>0.9743589743589743</v>
      </c>
    </row>
    <row r="34">
      <c r="A34" s="14" t="inlineStr">
        <is>
          <t>Huurovereenkomst KPN Opstelpunt Parallelweg 64 20130313.pdf</t>
        </is>
      </c>
      <c r="B34" s="14" t="n"/>
      <c r="C34" s="15" t="inlineStr">
        <is>
          <t>To Be Revisited</t>
        </is>
      </c>
      <c r="D34" s="14" t="n"/>
      <c r="E34" s="14" t="n"/>
      <c r="F34" s="14" t="n"/>
      <c r="G34" s="14" t="n"/>
      <c r="H34" s="14" t="n">
        <v>0.9743589743589743</v>
      </c>
    </row>
    <row r="35">
      <c r="A35" s="14" t="inlineStr">
        <is>
          <t>Huurovereenkomst PBG Parallelweg 64 (beg.grond) 20121008.pdf</t>
        </is>
      </c>
      <c r="B35" s="14" t="n"/>
      <c r="C35" s="15" t="inlineStr">
        <is>
          <t>New Break Date</t>
        </is>
      </c>
      <c r="D35" s="14" t="n"/>
      <c r="E35" s="14" t="n"/>
      <c r="F35" s="14" t="n"/>
      <c r="G35" s="14" t="n"/>
      <c r="H35" s="14" t="n">
        <v>0.9820675105485231</v>
      </c>
    </row>
    <row r="36">
      <c r="A36" s="14" t="inlineStr">
        <is>
          <t>MWO CBRE SPA (ITALY) CBRE_090724.pdf</t>
        </is>
      </c>
      <c r="B36" s="14" t="n"/>
      <c r="C36" s="15" t="inlineStr">
        <is>
          <t>To Be Revisited</t>
        </is>
      </c>
      <c r="D36" s="14" t="n"/>
      <c r="E36" s="14" t="n"/>
      <c r="F36" s="14" t="n"/>
      <c r="G36" s="14" t="n"/>
      <c r="H36" s="14" t="n">
        <v>0.9795376029763487</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New Establishment</t>
        </is>
      </c>
      <c r="D2" s="14" t="n"/>
      <c r="E2" s="14" t="n"/>
      <c r="F2" s="14" t="n"/>
      <c r="G2" s="14" t="n"/>
      <c r="H2" s="14" t="n">
        <v>0.5136551724137932</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New Establishment</t>
        </is>
      </c>
      <c r="D3" s="14" t="n"/>
      <c r="E3" s="14" t="n"/>
      <c r="F3" s="14" t="n"/>
      <c r="G3" s="14" t="n"/>
      <c r="H3" s="14" t="n">
        <v>0.2437001280662006</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Business Continuity</t>
        </is>
      </c>
      <c r="D4" s="14" t="n"/>
      <c r="E4" s="14" t="n"/>
      <c r="F4" s="14" t="n"/>
      <c r="G4" s="14" t="n"/>
      <c r="H4" s="14" t="n">
        <v>0.5655277145026574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New Establishment</t>
        </is>
      </c>
      <c r="D5" s="14" t="n"/>
      <c r="E5" s="14" t="n"/>
      <c r="F5" s="14" t="n"/>
      <c r="G5" s="14" t="n"/>
      <c r="H5" s="14" t="n">
        <v>0.5077412513255568</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Relocation</t>
        </is>
      </c>
      <c r="D6" s="14" t="n"/>
      <c r="E6" s="14" t="n"/>
      <c r="F6" s="14" t="n"/>
      <c r="G6" s="14" t="n"/>
      <c r="H6" s="14" t="n">
        <v>0.9820675105485231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New Establishment</t>
        </is>
      </c>
      <c r="D7" s="14" t="n"/>
      <c r="E7" s="14" t="n"/>
      <c r="F7" s="14" t="n"/>
      <c r="G7" s="14" t="n"/>
      <c r="H7" s="14" t="n">
        <v>0.9634995820562831</v>
      </c>
      <c r="K7" s="17" t="inlineStr">
        <is>
          <t>Total Docs Tested</t>
        </is>
      </c>
      <c r="L7" s="19">
        <f>COUNTA(A2:A36)</f>
        <v/>
      </c>
      <c r="N7" s="17" t="inlineStr">
        <is>
          <t>Total Docs Tested</t>
        </is>
      </c>
      <c r="O7" s="19">
        <f>COUNTA(A2:A36)</f>
        <v/>
      </c>
    </row>
    <row r="8">
      <c r="A8" s="14" t="inlineStr">
        <is>
          <t>20260629 HOK ADHDcentraal BV (1).pdf</t>
        </is>
      </c>
      <c r="B8" s="14" t="n"/>
      <c r="C8" s="15" t="inlineStr">
        <is>
          <t>Business Continuity</t>
        </is>
      </c>
      <c r="D8" s="14" t="n"/>
      <c r="E8" s="14" t="n"/>
      <c r="F8" s="14" t="n"/>
      <c r="G8" s="14" t="n"/>
      <c r="H8" s="14" t="n">
        <v>0.4443548387096775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Unknown</t>
        </is>
      </c>
      <c r="D9" s="14" t="n"/>
      <c r="E9" s="14" t="n"/>
      <c r="F9" s="14" t="n"/>
      <c r="G9" s="14" t="n"/>
      <c r="H9" s="14" t="n">
        <v>0.2426666666666668</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New Establishment</t>
        </is>
      </c>
      <c r="D10" s="14" t="n"/>
      <c r="E10" s="14" t="n"/>
      <c r="F10" s="14" t="n"/>
      <c r="G10" s="14" t="n"/>
      <c r="H10" s="14" t="n">
        <v>0.9769683985002677</v>
      </c>
      <c r="K10" s="20" t="inlineStr">
        <is>
          <t>Highlighted rows = file(s) not in the annotation sheet; excluded from all metrics above.</t>
        </is>
      </c>
    </row>
    <row r="11">
      <c r="A11" s="14" t="inlineStr">
        <is>
          <t>20270801 - Getekende Allonge II Advario BV.pdf</t>
        </is>
      </c>
      <c r="B11" s="14" t="n"/>
      <c r="C11" s="15" t="inlineStr">
        <is>
          <t>Business Continuity</t>
        </is>
      </c>
      <c r="D11" s="14" t="n"/>
      <c r="E11" s="14" t="n"/>
      <c r="F11" s="14" t="n"/>
      <c r="G11" s="14" t="n"/>
      <c r="H11" s="14" t="n">
        <v>0.9795376029763487</v>
      </c>
      <c r="K11" s="17" t="inlineStr">
        <is>
          <t>Validation Rules Example</t>
        </is>
      </c>
    </row>
    <row r="12">
      <c r="A12" s="14" t="inlineStr">
        <is>
          <t>240119 HOVK Spoorlaan 446-448 Tilburg signed.pdf</t>
        </is>
      </c>
      <c r="B12" s="14" t="n"/>
      <c r="C12" s="15" t="inlineStr">
        <is>
          <t>New Establishment</t>
        </is>
      </c>
      <c r="D12" s="14" t="n"/>
      <c r="E12" s="14" t="n"/>
      <c r="F12" s="14" t="n"/>
      <c r="G12" s="14" t="n"/>
      <c r="H12" s="14" t="n">
        <v>0.2435267190765252</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Business Continuity</t>
        </is>
      </c>
      <c r="D13" s="14" t="n"/>
      <c r="E13" s="14" t="n"/>
      <c r="F13" s="14" t="n"/>
      <c r="G13" s="14" t="n"/>
      <c r="H13" s="14" t="n">
        <v>0.9845590159644072</v>
      </c>
      <c r="K13" t="n">
        <v>100</v>
      </c>
      <c r="L13" t="n">
        <v>100</v>
      </c>
      <c r="M13" t="inlineStr">
        <is>
          <t>TP</t>
        </is>
      </c>
    </row>
    <row r="14">
      <c r="A14" s="14" t="inlineStr">
        <is>
          <t>CBRE_AT_Services_ENG_-_RITUALS_CBRE signed.pdf</t>
        </is>
      </c>
      <c r="B14" s="14" t="n"/>
      <c r="C14" s="15" t="inlineStr">
        <is>
          <t>New Establishment</t>
        </is>
      </c>
      <c r="D14" s="14" t="n"/>
      <c r="E14" s="14" t="n"/>
      <c r="F14" s="14" t="n"/>
      <c r="G14" s="14" t="n"/>
      <c r="H14" s="14" t="n">
        <v>0.4459511913118884</v>
      </c>
      <c r="L14" t="n">
        <v>100</v>
      </c>
      <c r="M14" t="inlineStr">
        <is>
          <t>FP</t>
        </is>
      </c>
    </row>
    <row r="15">
      <c r="A15" s="14" t="inlineStr">
        <is>
          <t>CBRE_Engagement_Letter_Alnylam_20260525_CLEAN_Version_signed all.pdf</t>
        </is>
      </c>
      <c r="B15" s="14" t="n"/>
      <c r="C15" s="15" t="inlineStr">
        <is>
          <t>Relocation</t>
        </is>
      </c>
      <c r="D15" s="14" t="n"/>
      <c r="E15" s="14" t="n"/>
      <c r="F15" s="14" t="n"/>
      <c r="G15" s="14" t="n"/>
      <c r="H15" s="14" t="n">
        <v>0.9795376029763487</v>
      </c>
      <c r="K15" t="n">
        <v>100</v>
      </c>
      <c r="L15" t="n">
        <v>200</v>
      </c>
      <c r="M15" t="inlineStr">
        <is>
          <t>FP</t>
        </is>
      </c>
    </row>
    <row r="16">
      <c r="A16" s="14" t="inlineStr">
        <is>
          <t>COMPL DEF Huurovereenkomst - Skybox - Pepperl+Fuchs - 20260204.pdf</t>
        </is>
      </c>
      <c r="B16" s="14" t="n"/>
      <c r="C16" s="15" t="inlineStr">
        <is>
          <t>Unknown</t>
        </is>
      </c>
      <c r="D16" s="14" t="n"/>
      <c r="E16" s="14" t="n"/>
      <c r="F16" s="14" t="n"/>
      <c r="G16" s="14" t="n"/>
      <c r="H16" s="14" t="n">
        <v>0.2426666666666668</v>
      </c>
      <c r="K16" t="n">
        <v>100</v>
      </c>
      <c r="M16" t="inlineStr">
        <is>
          <t>FN</t>
        </is>
      </c>
    </row>
    <row r="17">
      <c r="A17" s="14" t="inlineStr">
        <is>
          <t>COMPL Huurovereenkomst - Stichting CCE - Kantoorgebouw Metzpoint I Dr. Holtroplaan - Fully Signed.pdf</t>
        </is>
      </c>
      <c r="B17" s="14" t="n"/>
      <c r="C17" s="15" t="inlineStr">
        <is>
          <t>New Establishment</t>
        </is>
      </c>
      <c r="D17" s="14" t="n"/>
      <c r="E17" s="14" t="n"/>
      <c r="F17" s="14" t="n"/>
      <c r="G17" s="14" t="n"/>
      <c r="H17" s="14" t="n">
        <v>0.2440366972477066</v>
      </c>
      <c r="M17" t="inlineStr">
        <is>
          <t>TN</t>
        </is>
      </c>
    </row>
    <row r="18">
      <c r="A18" s="14" t="inlineStr">
        <is>
          <t>COMPL Regel Partners - HOVK - Luchthavenweg 81 - 20260728.pdf</t>
        </is>
      </c>
      <c r="B18" s="14" t="n"/>
      <c r="C18" s="15" t="inlineStr">
        <is>
          <t>Business Continuity</t>
        </is>
      </c>
      <c r="D18" s="14" t="n"/>
      <c r="E18" s="14" t="n"/>
      <c r="F18" s="14" t="n"/>
      <c r="G18" s="14" t="n"/>
      <c r="H18" s="14" t="n">
        <v>0.4426668995328124</v>
      </c>
    </row>
    <row r="19">
      <c r="A19" s="14" t="inlineStr">
        <is>
          <t>COMPL_-_Onderhuurovereenkomst_Zelfstroom_B.V._-_50five_B.V._-_kantoorgebouw_Riva_-_05032026.pdf</t>
        </is>
      </c>
      <c r="B19" s="14" t="n"/>
      <c r="C19" s="15" t="inlineStr">
        <is>
          <t>Business Continuity</t>
        </is>
      </c>
      <c r="D19" s="14" t="n"/>
      <c r="E19" s="14" t="n"/>
      <c r="F19" s="14" t="n"/>
      <c r="G19" s="14" t="n"/>
      <c r="H19" s="14" t="n">
        <v>0.9743589743589743</v>
      </c>
      <c r="K19" s="17" t="inlineStr">
        <is>
          <t>Field:</t>
        </is>
      </c>
      <c r="L19" t="inlineStr">
        <is>
          <t>Lease_Comp_Details / lease_arrangement_reason_type_desc</t>
        </is>
      </c>
    </row>
    <row r="20">
      <c r="A20" s="14" t="inlineStr">
        <is>
          <t>Den Bosch, Ruwekampweg 4, HOVK getekend.pdf</t>
        </is>
      </c>
      <c r="B20" s="14" t="n"/>
      <c r="C20" s="15" t="inlineStr">
        <is>
          <t>Business Continuity</t>
        </is>
      </c>
      <c r="D20" s="14" t="n"/>
      <c r="E20" s="14" t="n"/>
      <c r="F20" s="14" t="n"/>
      <c r="G20" s="14" t="n"/>
      <c r="H20" s="14" t="n">
        <v>0.4443548387096775</v>
      </c>
    </row>
    <row r="21">
      <c r="A21" s="14" t="inlineStr">
        <is>
          <t>FULLY SIGNED - COMPL Huurovereenkomst - Heijmans - Hugo de Grootlaan 23 's-Hertogenbosch V2 30-9-2025.pdf</t>
        </is>
      </c>
      <c r="B21" s="14" t="n"/>
      <c r="C21" s="15" t="inlineStr">
        <is>
          <t>Unknown</t>
        </is>
      </c>
      <c r="D21" s="14" t="n"/>
      <c r="E21" s="14" t="n"/>
      <c r="F21" s="14" t="n"/>
      <c r="G21" s="14" t="n"/>
      <c r="H21" s="14" t="n">
        <v>0.4398333333333333</v>
      </c>
    </row>
    <row r="22">
      <c r="A22" s="14" t="inlineStr">
        <is>
          <t>FULLY SIGNED - DEF_COMPL_Huurovereenkomst_Robo_Charge_-_Campus_Offices_-_20260220.pdf</t>
        </is>
      </c>
      <c r="B22" s="14" t="n"/>
      <c r="C22" s="15" t="inlineStr">
        <is>
          <t>New Establishment</t>
        </is>
      </c>
      <c r="D22" s="14" t="n"/>
      <c r="E22" s="14" t="n"/>
      <c r="F22" s="14" t="n"/>
      <c r="G22" s="14" t="n"/>
      <c r="H22" s="14" t="n">
        <v>0.2440366972477066</v>
      </c>
    </row>
    <row r="23">
      <c r="A23" s="14" t="inlineStr">
        <is>
          <t>FULLY SIGNED - Onderhuurovereenkomst Aartshertogenlaan 223, `s-Hertogenbosch - Koning Willem I College B.V. 2606202.pdf</t>
        </is>
      </c>
      <c r="B23" s="14" t="n"/>
      <c r="C23" s="15" t="inlineStr">
        <is>
          <t>Business Continuity</t>
        </is>
      </c>
      <c r="D23" s="14" t="n"/>
      <c r="E23" s="14" t="n"/>
      <c r="F23" s="14" t="n"/>
      <c r="G23" s="14" t="n"/>
      <c r="H23" s="14" t="n">
        <v>0.9743589743589743</v>
      </c>
    </row>
    <row r="24">
      <c r="A24" s="14" t="inlineStr">
        <is>
          <t>FULLY SIGNED COMPL_DEF_Huurovereenkomst_Bond_Bergschot_Breda.pdf</t>
        </is>
      </c>
      <c r="B24" s="14" t="n"/>
      <c r="C24" s="15" t="inlineStr">
        <is>
          <t>Unknown</t>
        </is>
      </c>
      <c r="D24" s="14" t="n"/>
      <c r="E24" s="14" t="n"/>
      <c r="F24" s="14" t="n"/>
      <c r="G24" s="14" t="n"/>
      <c r="H24" s="14" t="n">
        <v>0.2426666666666668</v>
      </c>
    </row>
    <row r="25">
      <c r="A25" s="14" t="inlineStr">
        <is>
          <t>FullySigned_Allonge_II_Virtual_Vaults_Nederland.pdf</t>
        </is>
      </c>
      <c r="B25" s="14" t="n"/>
      <c r="C25" s="15" t="inlineStr">
        <is>
          <t>Business Continuity</t>
        </is>
      </c>
      <c r="D25" s="14" t="n"/>
      <c r="E25" s="14" t="n"/>
      <c r="F25" s="14" t="n"/>
      <c r="G25" s="14" t="n"/>
      <c r="H25" s="14" t="n">
        <v>0.9845590159644072</v>
      </c>
    </row>
    <row r="26">
      <c r="A26" s="14" t="inlineStr">
        <is>
          <t>FullySigned_Lease_Agreement_Neste_EDGE_Coolsingel.pdf</t>
        </is>
      </c>
      <c r="B26" s="14" t="n"/>
      <c r="C26" s="15" t="inlineStr">
        <is>
          <t>Unknown</t>
        </is>
      </c>
      <c r="D26" s="14" t="n"/>
      <c r="E26" s="14" t="n"/>
      <c r="F26" s="14" t="n"/>
      <c r="G26" s="14" t="n"/>
      <c r="H26" s="14" t="n">
        <v>0.2426666666666668</v>
      </c>
    </row>
    <row r="27">
      <c r="A27" s="14" t="inlineStr">
        <is>
          <t>HOK Waalhaven Group (signed).pdf</t>
        </is>
      </c>
      <c r="B27" s="14" t="n"/>
      <c r="C27" s="15" t="inlineStr">
        <is>
          <t>Unknown</t>
        </is>
      </c>
      <c r="D27" s="14" t="n"/>
      <c r="E27" s="14" t="n"/>
      <c r="F27" s="14" t="n"/>
      <c r="G27" s="14" t="n"/>
      <c r="H27" s="14" t="n">
        <v>0.4398333333333333</v>
      </c>
    </row>
    <row r="28">
      <c r="A28" s="14" t="inlineStr">
        <is>
          <t>Hovk Avans  (3e+4e+5e verd.) 20140425.pdf</t>
        </is>
      </c>
      <c r="B28" s="14" t="n"/>
      <c r="C28" s="15" t="inlineStr">
        <is>
          <t>Business Continuity</t>
        </is>
      </c>
      <c r="D28" s="14" t="n"/>
      <c r="E28" s="14" t="n"/>
      <c r="F28" s="14" t="n"/>
      <c r="G28" s="14" t="n"/>
      <c r="H28" s="14" t="n">
        <v>0.4454287857321443</v>
      </c>
    </row>
    <row r="29">
      <c r="A29" s="14" t="inlineStr">
        <is>
          <t>HOVK Power4People 2025.pdf</t>
        </is>
      </c>
      <c r="B29" s="14" t="n"/>
      <c r="C29" s="15" t="inlineStr">
        <is>
          <t>New Establishment</t>
        </is>
      </c>
      <c r="D29" s="14" t="n"/>
      <c r="E29" s="14" t="n"/>
      <c r="F29" s="14" t="n"/>
      <c r="G29" s="14" t="n"/>
      <c r="H29" s="14" t="n">
        <v>0.9820675105485231</v>
      </c>
    </row>
    <row r="30">
      <c r="A30" s="14" t="inlineStr">
        <is>
          <t>Huurovereenkomst (Semmie Group B.V.) - Wilhelminasingel 19, Breda.pdf</t>
        </is>
      </c>
      <c r="B30" s="14" t="n"/>
      <c r="C30" s="15" t="inlineStr">
        <is>
          <t>New Establishment</t>
        </is>
      </c>
      <c r="D30" s="14" t="n"/>
      <c r="E30" s="14" t="n"/>
      <c r="F30" s="14" t="n"/>
      <c r="G30" s="14" t="n"/>
      <c r="H30" s="14" t="n">
        <v>0.2440366972477066</v>
      </c>
    </row>
    <row r="31">
      <c r="A31" s="14" t="inlineStr">
        <is>
          <t>Huurovereenkomst - proces-verbaal van oplevering - sleuteloverdracht - Kennedyplein 101 - getekend.pdf</t>
        </is>
      </c>
      <c r="B31" s="14" t="n"/>
      <c r="C31" s="15" t="inlineStr">
        <is>
          <t>Business Continuity</t>
        </is>
      </c>
      <c r="D31" s="14" t="n"/>
      <c r="E31" s="14" t="n"/>
      <c r="F31" s="14" t="n"/>
      <c r="G31" s="14" t="n"/>
      <c r="H31" s="14" t="n">
        <v>0.9795376029763487</v>
      </c>
    </row>
    <row r="32">
      <c r="A32" s="14" t="inlineStr">
        <is>
          <t>Huurovereenkomst Bijster 5 te Breda getekend.pdf</t>
        </is>
      </c>
      <c r="B32" s="14" t="n"/>
      <c r="C32" s="15" t="inlineStr">
        <is>
          <t>New Establishment</t>
        </is>
      </c>
      <c r="D32" s="14" t="n"/>
      <c r="E32" s="14" t="n"/>
      <c r="F32" s="14" t="n"/>
      <c r="G32" s="14" t="n"/>
      <c r="H32" s="14" t="n">
        <v>0.2443602613883892</v>
      </c>
    </row>
    <row r="33">
      <c r="A33" s="14" t="inlineStr">
        <is>
          <t>Huurovereenkomst Catena Pand Son - Skymark (Son en Breugel - NLD).pdf</t>
        </is>
      </c>
      <c r="B33" s="14" t="n"/>
      <c r="C33" s="15" t="inlineStr">
        <is>
          <t>Business Continuity</t>
        </is>
      </c>
      <c r="D33" s="14" t="n"/>
      <c r="E33" s="14" t="n"/>
      <c r="F33" s="14" t="n"/>
      <c r="G33" s="14" t="n"/>
      <c r="H33" s="14" t="n">
        <v>0.4443548387096775</v>
      </c>
    </row>
    <row r="34">
      <c r="A34" s="14" t="inlineStr">
        <is>
          <t>Huurovereenkomst KPN Opstelpunt Parallelweg 64 20130313.pdf</t>
        </is>
      </c>
      <c r="B34" s="14" t="n"/>
      <c r="C34" s="15" t="inlineStr">
        <is>
          <t>Business Continuity</t>
        </is>
      </c>
      <c r="D34" s="14" t="n"/>
      <c r="E34" s="14" t="n"/>
      <c r="F34" s="14" t="n"/>
      <c r="G34" s="14" t="n"/>
      <c r="H34" s="14" t="n">
        <v>0.4454287857321443</v>
      </c>
    </row>
    <row r="35">
      <c r="A35" s="14" t="inlineStr">
        <is>
          <t>Huurovereenkomst PBG Parallelweg 64 (beg.grond) 20121008.pdf</t>
        </is>
      </c>
      <c r="B35" s="14" t="n"/>
      <c r="C35" s="15" t="inlineStr">
        <is>
          <t>Business Continuity</t>
        </is>
      </c>
      <c r="D35" s="14" t="n"/>
      <c r="E35" s="14" t="n"/>
      <c r="F35" s="14" t="n"/>
      <c r="G35" s="14" t="n"/>
      <c r="H35" s="14" t="n">
        <v>0.9795376029763487</v>
      </c>
    </row>
    <row r="36">
      <c r="A36" s="14" t="inlineStr">
        <is>
          <t>MWO CBRE SPA (ITALY) CBRE_090724.pdf</t>
        </is>
      </c>
      <c r="B36" s="14" t="n"/>
      <c r="C36" s="15" t="inlineStr">
        <is>
          <t>New Establishment</t>
        </is>
      </c>
      <c r="D36" s="14" t="n"/>
      <c r="E36" s="14" t="n"/>
      <c r="F36" s="14" t="n"/>
      <c r="G36" s="14" t="n"/>
      <c r="H36" s="14" t="n">
        <v>0.9690156292843433</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New Lease</t>
        </is>
      </c>
      <c r="D2" s="14" t="n"/>
      <c r="E2" s="14" t="n"/>
      <c r="F2" s="14" t="n"/>
      <c r="G2" s="14" t="n"/>
      <c r="H2" s="14" t="n">
        <v>0.9845590159644072</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New Lease</t>
        </is>
      </c>
      <c r="D3" s="14" t="n"/>
      <c r="E3" s="14" t="n"/>
      <c r="F3" s="14" t="n"/>
      <c r="G3" s="14" t="n"/>
      <c r="H3" s="14" t="n">
        <v>0.9845590159644072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Pre-Lease</t>
        </is>
      </c>
      <c r="D4" s="14" t="n"/>
      <c r="E4" s="14" t="n"/>
      <c r="F4" s="14" t="n"/>
      <c r="G4" s="14" t="n"/>
      <c r="H4" s="14" t="n">
        <v>0.9820675105485231</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New Lease</t>
        </is>
      </c>
      <c r="D5" s="14" t="n"/>
      <c r="E5" s="14" t="n"/>
      <c r="F5" s="14" t="n"/>
      <c r="G5" s="14" t="n"/>
      <c r="H5" s="14" t="n">
        <v>0.9820675105485231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Pre-Lease</t>
        </is>
      </c>
      <c r="D6" s="14" t="n"/>
      <c r="E6" s="14" t="n"/>
      <c r="F6" s="14" t="n"/>
      <c r="G6" s="14" t="n"/>
      <c r="H6" s="14" t="n">
        <v>0.9820675105485231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New Lease</t>
        </is>
      </c>
      <c r="D7" s="14" t="n"/>
      <c r="E7" s="14" t="n"/>
      <c r="F7" s="14" t="n"/>
      <c r="G7" s="14" t="n"/>
      <c r="H7" s="14" t="n">
        <v>0.9820675105485231</v>
      </c>
      <c r="K7" s="17" t="inlineStr">
        <is>
          <t>Total Docs Tested</t>
        </is>
      </c>
      <c r="L7" s="19">
        <f>COUNTA(A2:A36)</f>
        <v/>
      </c>
      <c r="N7" s="17" t="inlineStr">
        <is>
          <t>Total Docs Tested</t>
        </is>
      </c>
      <c r="O7" s="19">
        <f>COUNTA(A2:A36)</f>
        <v/>
      </c>
    </row>
    <row r="8">
      <c r="A8" s="14" t="inlineStr">
        <is>
          <t>20260629 HOK ADHDcentraal BV (1).pdf</t>
        </is>
      </c>
      <c r="B8" s="14" t="n"/>
      <c r="C8" s="15" t="inlineStr">
        <is>
          <t>New Lease</t>
        </is>
      </c>
      <c r="D8" s="14" t="n"/>
      <c r="E8" s="14" t="n"/>
      <c r="F8" s="14" t="n"/>
      <c r="G8" s="14" t="n"/>
      <c r="H8" s="14" t="n">
        <v>0.9820675105485231</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New Lease</t>
        </is>
      </c>
      <c r="D9" s="14" t="n"/>
      <c r="E9" s="14" t="n"/>
      <c r="F9" s="14" t="n"/>
      <c r="G9" s="14" t="n"/>
      <c r="H9" s="14" t="n">
        <v>0.9845590159644072</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New Lease</t>
        </is>
      </c>
      <c r="D10" s="14" t="n"/>
      <c r="E10" s="14" t="n"/>
      <c r="F10" s="14" t="n"/>
      <c r="G10" s="14" t="n"/>
      <c r="H10" s="14" t="n">
        <v>0.9820675105485231</v>
      </c>
      <c r="K10" s="20" t="inlineStr">
        <is>
          <t>Highlighted rows = file(s) not in the annotation sheet; excluded from all metrics above.</t>
        </is>
      </c>
    </row>
    <row r="11">
      <c r="A11" s="14" t="inlineStr">
        <is>
          <t>20270801 - Getekende Allonge II Advario BV.pdf</t>
        </is>
      </c>
      <c r="B11" s="14" t="n"/>
      <c r="C11" s="15" t="inlineStr">
        <is>
          <t>Renewal</t>
        </is>
      </c>
      <c r="D11" s="14" t="n"/>
      <c r="E11" s="14" t="n"/>
      <c r="F11" s="14" t="n"/>
      <c r="G11" s="14" t="n"/>
      <c r="H11" s="14" t="n">
        <v>0.9845590159644072</v>
      </c>
      <c r="K11" s="17" t="inlineStr">
        <is>
          <t>Validation Rules Example</t>
        </is>
      </c>
    </row>
    <row r="12">
      <c r="A12" s="14" t="inlineStr">
        <is>
          <t>240119 HOVK Spoorlaan 446-448 Tilburg signed.pdf</t>
        </is>
      </c>
      <c r="B12" s="14" t="n"/>
      <c r="C12" s="15" t="inlineStr">
        <is>
          <t>New Lease</t>
        </is>
      </c>
      <c r="D12" s="14" t="n"/>
      <c r="E12" s="14" t="n"/>
      <c r="F12" s="14" t="n"/>
      <c r="G12" s="14" t="n"/>
      <c r="H12" s="14" t="n">
        <v>0.9845590159644072</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New Lease</t>
        </is>
      </c>
      <c r="D13" s="14" t="n"/>
      <c r="E13" s="14" t="n"/>
      <c r="F13" s="14" t="n"/>
      <c r="G13" s="14" t="n"/>
      <c r="H13" s="14" t="n">
        <v>0.9845590159644072</v>
      </c>
      <c r="K13" t="n">
        <v>100</v>
      </c>
      <c r="L13" t="n">
        <v>100</v>
      </c>
      <c r="M13" t="inlineStr">
        <is>
          <t>TP</t>
        </is>
      </c>
    </row>
    <row r="14">
      <c r="A14" s="14" t="inlineStr">
        <is>
          <t>CBRE_AT_Services_ENG_-_RITUALS_CBRE signed.pdf</t>
        </is>
      </c>
      <c r="B14" s="14" t="n"/>
      <c r="C14" s="15" t="inlineStr">
        <is>
          <t>New Lease</t>
        </is>
      </c>
      <c r="D14" s="14" t="n"/>
      <c r="E14" s="14" t="n"/>
      <c r="F14" s="14" t="n"/>
      <c r="G14" s="14" t="n"/>
      <c r="H14" s="14" t="n">
        <v>0.9820675105485231</v>
      </c>
      <c r="L14" t="n">
        <v>100</v>
      </c>
      <c r="M14" t="inlineStr">
        <is>
          <t>FP</t>
        </is>
      </c>
    </row>
    <row r="15">
      <c r="A15" s="14" t="inlineStr">
        <is>
          <t>CBRE_Engagement_Letter_Alnylam_20260525_CLEAN_Version_signed all.pdf</t>
        </is>
      </c>
      <c r="B15" s="14" t="n"/>
      <c r="C15" s="15" t="inlineStr">
        <is>
          <t>New Lease</t>
        </is>
      </c>
      <c r="D15" s="14" t="n"/>
      <c r="E15" s="14" t="n"/>
      <c r="F15" s="14" t="n"/>
      <c r="G15" s="14" t="n"/>
      <c r="H15" s="14" t="n">
        <v>0.9820675105485231</v>
      </c>
      <c r="K15" t="n">
        <v>100</v>
      </c>
      <c r="L15" t="n">
        <v>200</v>
      </c>
      <c r="M15" t="inlineStr">
        <is>
          <t>FP</t>
        </is>
      </c>
    </row>
    <row r="16">
      <c r="A16" s="14" t="inlineStr">
        <is>
          <t>COMPL DEF Huurovereenkomst - Skybox - Pepperl+Fuchs - 20260204.pdf</t>
        </is>
      </c>
      <c r="B16" s="14" t="n"/>
      <c r="C16" s="15" t="inlineStr">
        <is>
          <t>New Lease</t>
        </is>
      </c>
      <c r="D16" s="14" t="n"/>
      <c r="E16" s="14" t="n"/>
      <c r="F16" s="14" t="n"/>
      <c r="G16" s="14" t="n"/>
      <c r="H16" s="14" t="n">
        <v>0.9845590159644072</v>
      </c>
      <c r="K16" t="n">
        <v>100</v>
      </c>
      <c r="M16" t="inlineStr">
        <is>
          <t>FN</t>
        </is>
      </c>
    </row>
    <row r="17">
      <c r="A17" s="14" t="inlineStr">
        <is>
          <t>COMPL Huurovereenkomst - Stichting CCE - Kantoorgebouw Metzpoint I Dr. Holtroplaan - Fully Signed.pdf</t>
        </is>
      </c>
      <c r="B17" s="14" t="n"/>
      <c r="C17" s="15" t="inlineStr">
        <is>
          <t>New Lease</t>
        </is>
      </c>
      <c r="D17" s="14" t="n"/>
      <c r="E17" s="14" t="n"/>
      <c r="F17" s="14" t="n"/>
      <c r="G17" s="14" t="n"/>
      <c r="H17" s="14" t="n">
        <v>0.9845590159644072</v>
      </c>
      <c r="M17" t="inlineStr">
        <is>
          <t>TN</t>
        </is>
      </c>
    </row>
    <row r="18">
      <c r="A18" s="14" t="inlineStr">
        <is>
          <t>COMPL Regel Partners - HOVK - Luchthavenweg 81 - 20260728.pdf</t>
        </is>
      </c>
      <c r="B18" s="14" t="n"/>
      <c r="C18" s="15" t="inlineStr">
        <is>
          <t>New Lease</t>
        </is>
      </c>
      <c r="D18" s="14" t="n"/>
      <c r="E18" s="14" t="n"/>
      <c r="F18" s="14" t="n"/>
      <c r="G18" s="14" t="n"/>
      <c r="H18" s="14" t="n">
        <v>0.9845590159644072</v>
      </c>
    </row>
    <row r="19">
      <c r="A19" s="14" t="inlineStr">
        <is>
          <t>COMPL_-_Onderhuurovereenkomst_Zelfstroom_B.V._-_50five_B.V._-_kantoorgebouw_Riva_-_05032026.pdf</t>
        </is>
      </c>
      <c r="B19" s="14" t="n"/>
      <c r="C19" s="15" t="inlineStr">
        <is>
          <t>New Lease</t>
        </is>
      </c>
      <c r="D19" s="14" t="n"/>
      <c r="E19" s="14" t="n"/>
      <c r="F19" s="14" t="n"/>
      <c r="G19" s="14" t="n"/>
      <c r="H19" s="14" t="n">
        <v>0.9845590159644072</v>
      </c>
      <c r="K19" s="17" t="inlineStr">
        <is>
          <t>Field:</t>
        </is>
      </c>
      <c r="L19" t="inlineStr">
        <is>
          <t>Lease_Comp_Details / ref_lease_activity_type_desc</t>
        </is>
      </c>
    </row>
    <row r="20">
      <c r="A20" s="14" t="inlineStr">
        <is>
          <t>Den Bosch, Ruwekampweg 4, HOVK getekend.pdf</t>
        </is>
      </c>
      <c r="B20" s="14" t="n"/>
      <c r="C20" s="15" t="inlineStr">
        <is>
          <t>New Lease</t>
        </is>
      </c>
      <c r="D20" s="14" t="n"/>
      <c r="E20" s="14" t="n"/>
      <c r="F20" s="14" t="n"/>
      <c r="G20" s="14" t="n"/>
      <c r="H20" s="14" t="n">
        <v>0.9820675105485231</v>
      </c>
    </row>
    <row r="21">
      <c r="A21" s="14" t="inlineStr">
        <is>
          <t>FULLY SIGNED - COMPL Huurovereenkomst - Heijmans - Hugo de Grootlaan 23 's-Hertogenbosch V2 30-9-2025.pdf</t>
        </is>
      </c>
      <c r="B21" s="14" t="n"/>
      <c r="C21" s="15" t="inlineStr">
        <is>
          <t>New Lease</t>
        </is>
      </c>
      <c r="D21" s="14" t="n"/>
      <c r="E21" s="14" t="n"/>
      <c r="F21" s="14" t="n"/>
      <c r="G21" s="14" t="n"/>
      <c r="H21" s="14" t="n">
        <v>0.9845590159644072</v>
      </c>
    </row>
    <row r="22">
      <c r="A22" s="14" t="inlineStr">
        <is>
          <t>FULLY SIGNED - DEF_COMPL_Huurovereenkomst_Robo_Charge_-_Campus_Offices_-_20260220.pdf</t>
        </is>
      </c>
      <c r="B22" s="14" t="n"/>
      <c r="C22" s="15" t="inlineStr">
        <is>
          <t>New Lease</t>
        </is>
      </c>
      <c r="D22" s="14" t="n"/>
      <c r="E22" s="14" t="n"/>
      <c r="F22" s="14" t="n"/>
      <c r="G22" s="14" t="n"/>
      <c r="H22" s="14" t="n">
        <v>0.9845590159644072</v>
      </c>
    </row>
    <row r="23">
      <c r="A23" s="14" t="inlineStr">
        <is>
          <t>FULLY SIGNED - Onderhuurovereenkomst Aartshertogenlaan 223, `s-Hertogenbosch - Koning Willem I College B.V. 2606202.pdf</t>
        </is>
      </c>
      <c r="B23" s="14" t="n"/>
      <c r="C23" s="15" t="inlineStr">
        <is>
          <t>New Lease</t>
        </is>
      </c>
      <c r="D23" s="14" t="n"/>
      <c r="E23" s="14" t="n"/>
      <c r="F23" s="14" t="n"/>
      <c r="G23" s="14" t="n"/>
      <c r="H23" s="14" t="n">
        <v>0.9820675105485231</v>
      </c>
    </row>
    <row r="24">
      <c r="A24" s="14" t="inlineStr">
        <is>
          <t>FULLY SIGNED COMPL_DEF_Huurovereenkomst_Bond_Bergschot_Breda.pdf</t>
        </is>
      </c>
      <c r="B24" s="14" t="n"/>
      <c r="C24" s="15" t="inlineStr">
        <is>
          <t>New Lease</t>
        </is>
      </c>
      <c r="D24" s="14" t="n"/>
      <c r="E24" s="14" t="n"/>
      <c r="F24" s="14" t="n"/>
      <c r="G24" s="14" t="n"/>
      <c r="H24" s="14" t="n">
        <v>0.9845590159644072</v>
      </c>
    </row>
    <row r="25">
      <c r="A25" s="14" t="inlineStr">
        <is>
          <t>FullySigned_Allonge_II_Virtual_Vaults_Nederland.pdf</t>
        </is>
      </c>
      <c r="B25" s="14" t="n"/>
      <c r="C25" s="15" t="inlineStr">
        <is>
          <t>Renewal</t>
        </is>
      </c>
      <c r="D25" s="14" t="n"/>
      <c r="E25" s="14" t="n"/>
      <c r="F25" s="14" t="n"/>
      <c r="G25" s="14" t="n"/>
      <c r="H25" s="14" t="n">
        <v>0.9845590159644072</v>
      </c>
    </row>
    <row r="26">
      <c r="A26" s="14" t="inlineStr">
        <is>
          <t>FullySigned_Lease_Agreement_Neste_EDGE_Coolsingel.pdf</t>
        </is>
      </c>
      <c r="B26" s="14" t="n"/>
      <c r="C26" s="15" t="inlineStr">
        <is>
          <t>New Lease</t>
        </is>
      </c>
      <c r="D26" s="14" t="n"/>
      <c r="E26" s="14" t="n"/>
      <c r="F26" s="14" t="n"/>
      <c r="G26" s="14" t="n"/>
      <c r="H26" s="14" t="n">
        <v>0.9845590159644072</v>
      </c>
    </row>
    <row r="27">
      <c r="A27" s="14" t="inlineStr">
        <is>
          <t>HOK Waalhaven Group (signed).pdf</t>
        </is>
      </c>
      <c r="B27" s="14" t="n"/>
      <c r="C27" s="15" t="inlineStr">
        <is>
          <t>New Lease</t>
        </is>
      </c>
      <c r="D27" s="14" t="n"/>
      <c r="E27" s="14" t="n"/>
      <c r="F27" s="14" t="n"/>
      <c r="G27" s="14" t="n"/>
      <c r="H27" s="14" t="n">
        <v>0.9845590159644072</v>
      </c>
    </row>
    <row r="28">
      <c r="A28" s="14" t="inlineStr">
        <is>
          <t>Hovk Avans  (3e+4e+5e verd.) 20140425.pdf</t>
        </is>
      </c>
      <c r="B28" s="14" t="n"/>
      <c r="C28" s="15" t="inlineStr">
        <is>
          <t>New Lease</t>
        </is>
      </c>
      <c r="D28" s="14" t="n"/>
      <c r="E28" s="14" t="n"/>
      <c r="F28" s="14" t="n"/>
      <c r="G28" s="14" t="n"/>
      <c r="H28" s="14" t="n">
        <v>0.9795376029763487</v>
      </c>
    </row>
    <row r="29">
      <c r="A29" s="14" t="inlineStr">
        <is>
          <t>HOVK Power4People 2025.pdf</t>
        </is>
      </c>
      <c r="B29" s="14" t="n"/>
      <c r="C29" s="15" t="inlineStr">
        <is>
          <t>New Lease</t>
        </is>
      </c>
      <c r="D29" s="14" t="n"/>
      <c r="E29" s="14" t="n"/>
      <c r="F29" s="14" t="n"/>
      <c r="G29" s="14" t="n"/>
      <c r="H29" s="14" t="n">
        <v>0.9845590159644072</v>
      </c>
    </row>
    <row r="30">
      <c r="A30" s="14" t="inlineStr">
        <is>
          <t>Huurovereenkomst (Semmie Group B.V.) - Wilhelminasingel 19, Breda.pdf</t>
        </is>
      </c>
      <c r="B30" s="14" t="n"/>
      <c r="C30" s="15" t="inlineStr">
        <is>
          <t>New Lease</t>
        </is>
      </c>
      <c r="D30" s="14" t="n"/>
      <c r="E30" s="14" t="n"/>
      <c r="F30" s="14" t="n"/>
      <c r="G30" s="14" t="n"/>
      <c r="H30" s="14" t="n">
        <v>0.9845590159644072</v>
      </c>
    </row>
    <row r="31">
      <c r="A31" s="14" t="inlineStr">
        <is>
          <t>Huurovereenkomst - proces-verbaal van oplevering - sleuteloverdracht - Kennedyplein 101 - getekend.pdf</t>
        </is>
      </c>
      <c r="B31" s="14" t="n"/>
      <c r="C31" s="15" t="inlineStr">
        <is>
          <t>New Lease</t>
        </is>
      </c>
      <c r="D31" s="14" t="n"/>
      <c r="E31" s="14" t="n"/>
      <c r="F31" s="14" t="n"/>
      <c r="G31" s="14" t="n"/>
      <c r="H31" s="14" t="n">
        <v>0.9820675105485231</v>
      </c>
    </row>
    <row r="32">
      <c r="A32" s="14" t="inlineStr">
        <is>
          <t>Huurovereenkomst Bijster 5 te Breda getekend.pdf</t>
        </is>
      </c>
      <c r="B32" s="14" t="n"/>
      <c r="C32" s="15" t="inlineStr">
        <is>
          <t>New Lease</t>
        </is>
      </c>
      <c r="D32" s="14" t="n"/>
      <c r="E32" s="14" t="n"/>
      <c r="F32" s="14" t="n"/>
      <c r="G32" s="14" t="n"/>
      <c r="H32" s="14" t="n">
        <v>0.9845590159644072</v>
      </c>
    </row>
    <row r="33">
      <c r="A33" s="14" t="inlineStr">
        <is>
          <t>Huurovereenkomst Catena Pand Son - Skymark (Son en Breugel - NLD).pdf</t>
        </is>
      </c>
      <c r="B33" s="14" t="n"/>
      <c r="C33" s="15" t="inlineStr">
        <is>
          <t>New Lease</t>
        </is>
      </c>
      <c r="D33" s="14" t="n"/>
      <c r="E33" s="14" t="n"/>
      <c r="F33" s="14" t="n"/>
      <c r="G33" s="14" t="n"/>
      <c r="H33" s="14" t="n">
        <v>0.9795376029763487</v>
      </c>
    </row>
    <row r="34">
      <c r="A34" s="14" t="inlineStr">
        <is>
          <t>Huurovereenkomst KPN Opstelpunt Parallelweg 64 20130313.pdf</t>
        </is>
      </c>
      <c r="B34" s="14" t="n"/>
      <c r="C34" s="15" t="inlineStr">
        <is>
          <t>New Lease</t>
        </is>
      </c>
      <c r="D34" s="14" t="n"/>
      <c r="E34" s="14" t="n"/>
      <c r="F34" s="14" t="n"/>
      <c r="G34" s="14" t="n"/>
      <c r="H34" s="14" t="n">
        <v>0.9845590159644072</v>
      </c>
    </row>
    <row r="35">
      <c r="A35" s="14" t="inlineStr">
        <is>
          <t>Huurovereenkomst PBG Parallelweg 64 (beg.grond) 20121008.pdf</t>
        </is>
      </c>
      <c r="B35" s="14" t="n"/>
      <c r="C35" s="15" t="inlineStr">
        <is>
          <t>Renewal</t>
        </is>
      </c>
      <c r="D35" s="14" t="n"/>
      <c r="E35" s="14" t="n"/>
      <c r="F35" s="14" t="n"/>
      <c r="G35" s="14" t="n"/>
      <c r="H35" s="14" t="n">
        <v>0.9820675105485231</v>
      </c>
    </row>
    <row r="36">
      <c r="A36" s="14" t="inlineStr">
        <is>
          <t>MWO CBRE SPA (ITALY) CBRE_090724.pdf</t>
        </is>
      </c>
      <c r="B36" s="14" t="n"/>
      <c r="C36" s="15" t="inlineStr">
        <is>
          <t>New Lease</t>
        </is>
      </c>
      <c r="D36" s="14" t="n"/>
      <c r="E36" s="14" t="n"/>
      <c r="F36" s="14" t="n"/>
      <c r="G36" s="14" t="n"/>
      <c r="H36" s="14" t="n">
        <v>0.8162497660782234</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Direct</t>
        </is>
      </c>
      <c r="D2" s="14" t="n"/>
      <c r="E2" s="14" t="n"/>
      <c r="F2" s="14" t="n"/>
      <c r="G2" s="14" t="n"/>
      <c r="H2" s="14" t="n">
        <v>0.9845590159644072</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Direct</t>
        </is>
      </c>
      <c r="D3" s="14" t="n"/>
      <c r="E3" s="14" t="n"/>
      <c r="F3" s="14" t="n"/>
      <c r="G3" s="14" t="n"/>
      <c r="H3" s="14" t="n">
        <v>0.9743589743589743</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Direct</t>
        </is>
      </c>
      <c r="D4" s="14" t="n"/>
      <c r="E4" s="14" t="n"/>
      <c r="F4" s="14" t="n"/>
      <c r="G4" s="14" t="n"/>
      <c r="H4" s="14" t="n">
        <v>0.9743589743589743</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Direct</t>
        </is>
      </c>
      <c r="D5" s="14" t="n"/>
      <c r="E5" s="14" t="n"/>
      <c r="F5" s="14" t="n"/>
      <c r="G5" s="14" t="n"/>
      <c r="H5" s="14" t="n">
        <v>0.289279898679211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Direct</t>
        </is>
      </c>
      <c r="D6" s="14" t="n"/>
      <c r="E6" s="14" t="n"/>
      <c r="F6" s="14" t="n"/>
      <c r="G6" s="14" t="n"/>
      <c r="H6" s="14" t="n">
        <v>0.9845590159644072</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Direct</t>
        </is>
      </c>
      <c r="D7" s="14" t="n"/>
      <c r="E7" s="14" t="n"/>
      <c r="F7" s="14" t="n"/>
      <c r="G7" s="14" t="n"/>
      <c r="H7" s="14" t="n">
        <v>0.9743589743589743</v>
      </c>
      <c r="K7" s="17" t="inlineStr">
        <is>
          <t>Total Docs Tested</t>
        </is>
      </c>
      <c r="L7" s="19">
        <f>COUNTA(A2:A36)</f>
        <v/>
      </c>
      <c r="N7" s="17" t="inlineStr">
        <is>
          <t>Total Docs Tested</t>
        </is>
      </c>
      <c r="O7" s="19">
        <f>COUNTA(A2:A36)</f>
        <v/>
      </c>
    </row>
    <row r="8">
      <c r="A8" s="14" t="inlineStr">
        <is>
          <t>20260629 HOK ADHDcentraal BV (1).pdf</t>
        </is>
      </c>
      <c r="B8" s="14" t="n"/>
      <c r="C8" s="15" t="inlineStr">
        <is>
          <t>Direct</t>
        </is>
      </c>
      <c r="D8" s="14" t="n"/>
      <c r="E8" s="14" t="n"/>
      <c r="F8" s="14" t="n"/>
      <c r="G8" s="14" t="n"/>
      <c r="H8" s="14" t="n">
        <v>0.289279898679211</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Direct</t>
        </is>
      </c>
      <c r="D9" s="14" t="n"/>
      <c r="E9" s="14" t="n"/>
      <c r="F9" s="14" t="n"/>
      <c r="G9" s="14" t="n"/>
      <c r="H9" s="14" t="n">
        <v>0.9743589743589743</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Direct</t>
        </is>
      </c>
      <c r="D10" s="14" t="n"/>
      <c r="E10" s="14" t="n"/>
      <c r="F10" s="14" t="n"/>
      <c r="G10" s="14" t="n"/>
      <c r="H10" s="14" t="n">
        <v>0.289279898679211</v>
      </c>
      <c r="K10" s="20" t="inlineStr">
        <is>
          <t>Highlighted rows = file(s) not in the annotation sheet; excluded from all metrics above.</t>
        </is>
      </c>
    </row>
    <row r="11">
      <c r="A11" s="14" t="inlineStr">
        <is>
          <t>20270801 - Getekende Allonge II Advario BV.pdf</t>
        </is>
      </c>
      <c r="B11" s="14" t="n"/>
      <c r="C11" s="15" t="inlineStr">
        <is>
          <t>Direct</t>
        </is>
      </c>
      <c r="D11" s="14" t="n"/>
      <c r="E11" s="14" t="n"/>
      <c r="F11" s="14" t="n"/>
      <c r="G11" s="14" t="n"/>
      <c r="H11" s="14" t="n">
        <v>0.9820675105485231</v>
      </c>
      <c r="K11" s="17" t="inlineStr">
        <is>
          <t>Validation Rules Example</t>
        </is>
      </c>
    </row>
    <row r="12">
      <c r="A12" s="14" t="inlineStr">
        <is>
          <t>240119 HOVK Spoorlaan 446-448 Tilburg signed.pdf</t>
        </is>
      </c>
      <c r="B12" s="14" t="n"/>
      <c r="C12" s="15" t="inlineStr">
        <is>
          <t>Direct</t>
        </is>
      </c>
      <c r="D12" s="14" t="n"/>
      <c r="E12" s="14" t="n"/>
      <c r="F12" s="14" t="n"/>
      <c r="G12" s="14" t="n"/>
      <c r="H12" s="14" t="n">
        <v>0.9743589743589743</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Direct</t>
        </is>
      </c>
      <c r="D13" s="14" t="n"/>
      <c r="E13" s="14" t="n"/>
      <c r="F13" s="14" t="n"/>
      <c r="G13" s="14" t="n"/>
      <c r="H13" s="14" t="n">
        <v>0.9845590159644072</v>
      </c>
      <c r="K13" t="n">
        <v>100</v>
      </c>
      <c r="L13" t="n">
        <v>100</v>
      </c>
      <c r="M13" t="inlineStr">
        <is>
          <t>TP</t>
        </is>
      </c>
    </row>
    <row r="14">
      <c r="A14" s="14" t="inlineStr">
        <is>
          <t>CBRE_AT_Services_ENG_-_RITUALS_CBRE signed.pdf</t>
        </is>
      </c>
      <c r="B14" s="14" t="n"/>
      <c r="C14" s="15" t="inlineStr">
        <is>
          <t>Direct</t>
        </is>
      </c>
      <c r="D14" s="14" t="n"/>
      <c r="E14" s="14" t="n"/>
      <c r="F14" s="14" t="n"/>
      <c r="G14" s="14" t="n"/>
      <c r="H14" s="14" t="n">
        <v>0.9795376029763487</v>
      </c>
      <c r="L14" t="n">
        <v>100</v>
      </c>
      <c r="M14" t="inlineStr">
        <is>
          <t>FP</t>
        </is>
      </c>
    </row>
    <row r="15">
      <c r="A15" s="14" t="inlineStr">
        <is>
          <t>CBRE_Engagement_Letter_Alnylam_20260525_CLEAN_Version_signed all.pdf</t>
        </is>
      </c>
      <c r="B15" s="14" t="n"/>
      <c r="C15" s="15" t="inlineStr">
        <is>
          <t>Direct</t>
        </is>
      </c>
      <c r="D15" s="14" t="n"/>
      <c r="E15" s="14" t="n"/>
      <c r="F15" s="14" t="n"/>
      <c r="G15" s="14" t="n"/>
      <c r="H15" s="14" t="n">
        <v>0.9743589743589743</v>
      </c>
      <c r="K15" t="n">
        <v>100</v>
      </c>
      <c r="L15" t="n">
        <v>200</v>
      </c>
      <c r="M15" t="inlineStr">
        <is>
          <t>FP</t>
        </is>
      </c>
    </row>
    <row r="16">
      <c r="A16" s="14" t="inlineStr">
        <is>
          <t>COMPL DEF Huurovereenkomst - Skybox - Pepperl+Fuchs - 20260204.pdf</t>
        </is>
      </c>
      <c r="B16" s="14" t="n"/>
      <c r="C16" s="15" t="inlineStr">
        <is>
          <t>Direct</t>
        </is>
      </c>
      <c r="D16" s="14" t="n"/>
      <c r="E16" s="14" t="n"/>
      <c r="F16" s="14" t="n"/>
      <c r="G16" s="14" t="n"/>
      <c r="H16" s="14" t="n">
        <v>0.9845590159644072</v>
      </c>
      <c r="K16" t="n">
        <v>100</v>
      </c>
      <c r="M16" t="inlineStr">
        <is>
          <t>FN</t>
        </is>
      </c>
    </row>
    <row r="17">
      <c r="A17" s="14" t="inlineStr">
        <is>
          <t>COMPL Huurovereenkomst - Stichting CCE - Kantoorgebouw Metzpoint I Dr. Holtroplaan - Fully Signed.pdf</t>
        </is>
      </c>
      <c r="B17" s="14" t="n"/>
      <c r="C17" s="15" t="inlineStr">
        <is>
          <t>Direct</t>
        </is>
      </c>
      <c r="D17" s="14" t="n"/>
      <c r="E17" s="14" t="n"/>
      <c r="F17" s="14" t="n"/>
      <c r="G17" s="14" t="n"/>
      <c r="H17" s="14" t="n">
        <v>0.9743589743589743</v>
      </c>
      <c r="M17" t="inlineStr">
        <is>
          <t>TN</t>
        </is>
      </c>
    </row>
    <row r="18">
      <c r="A18" s="14" t="inlineStr">
        <is>
          <t>COMPL Regel Partners - HOVK - Luchthavenweg 81 - 20260728.pdf</t>
        </is>
      </c>
      <c r="B18" s="14" t="n"/>
      <c r="C18" s="15" t="inlineStr">
        <is>
          <t>Direct</t>
        </is>
      </c>
      <c r="D18" s="14" t="n"/>
      <c r="E18" s="14" t="n"/>
      <c r="F18" s="14" t="n"/>
      <c r="G18" s="14" t="n"/>
      <c r="H18" s="14" t="n">
        <v>0.9845590159644072</v>
      </c>
    </row>
    <row r="19">
      <c r="A19" s="14" t="inlineStr">
        <is>
          <t>COMPL_-_Onderhuurovereenkomst_Zelfstroom_B.V._-_50five_B.V._-_kantoorgebouw_Riva_-_05032026.pdf</t>
        </is>
      </c>
      <c r="B19" s="14" t="n"/>
      <c r="C19" s="15" t="inlineStr">
        <is>
          <t>SubLease</t>
        </is>
      </c>
      <c r="D19" s="14" t="n"/>
      <c r="E19" s="14" t="n"/>
      <c r="F19" s="14" t="n"/>
      <c r="G19" s="14" t="n"/>
      <c r="H19" s="14" t="n">
        <v>0.9743589743589743</v>
      </c>
      <c r="K19" s="17" t="inlineStr">
        <is>
          <t>Field:</t>
        </is>
      </c>
      <c r="L19" t="inlineStr">
        <is>
          <t>Lease_Comp_Details / ref_lease_arrangement_type_desc</t>
        </is>
      </c>
    </row>
    <row r="20">
      <c r="A20" s="14" t="inlineStr">
        <is>
          <t>Den Bosch, Ruwekampweg 4, HOVK getekend.pdf</t>
        </is>
      </c>
      <c r="B20" s="14" t="n"/>
      <c r="C20" s="15" t="inlineStr">
        <is>
          <t>Direct</t>
        </is>
      </c>
      <c r="D20" s="14" t="n"/>
      <c r="E20" s="14" t="n"/>
      <c r="F20" s="14" t="n"/>
      <c r="G20" s="14" t="n"/>
      <c r="H20" s="14" t="n">
        <v>0.9845590159644072</v>
      </c>
    </row>
    <row r="21">
      <c r="A21" s="14" t="inlineStr">
        <is>
          <t>FULLY SIGNED - COMPL Huurovereenkomst - Heijmans - Hugo de Grootlaan 23 's-Hertogenbosch V2 30-9-2025.pdf</t>
        </is>
      </c>
      <c r="B21" s="14" t="n"/>
      <c r="C21" s="15" t="inlineStr">
        <is>
          <t>SubLease</t>
        </is>
      </c>
      <c r="D21" s="14" t="n"/>
      <c r="E21" s="14" t="n"/>
      <c r="F21" s="14" t="n"/>
      <c r="G21" s="14" t="n"/>
      <c r="H21" s="14" t="n">
        <v>0.9845590159644072</v>
      </c>
    </row>
    <row r="22">
      <c r="A22" s="14" t="inlineStr">
        <is>
          <t>FULLY SIGNED - DEF_COMPL_Huurovereenkomst_Robo_Charge_-_Campus_Offices_-_20260220.pdf</t>
        </is>
      </c>
      <c r="B22" s="14" t="n"/>
      <c r="C22" s="15" t="inlineStr">
        <is>
          <t>Direct</t>
        </is>
      </c>
      <c r="D22" s="14" t="n"/>
      <c r="E22" s="14" t="n"/>
      <c r="F22" s="14" t="n"/>
      <c r="G22" s="14" t="n"/>
      <c r="H22" s="14" t="n">
        <v>0.9845590159644072</v>
      </c>
    </row>
    <row r="23">
      <c r="A23" s="14" t="inlineStr">
        <is>
          <t>FULLY SIGNED - Onderhuurovereenkomst Aartshertogenlaan 223, `s-Hertogenbosch - Koning Willem I College B.V. 2606202.pdf</t>
        </is>
      </c>
      <c r="B23" s="14" t="n"/>
      <c r="C23" s="15" t="inlineStr">
        <is>
          <t>SubLease</t>
        </is>
      </c>
      <c r="D23" s="14" t="n"/>
      <c r="E23" s="14" t="n"/>
      <c r="F23" s="14" t="n"/>
      <c r="G23" s="14" t="n"/>
      <c r="H23" s="14" t="n">
        <v>0.9845590159644072</v>
      </c>
    </row>
    <row r="24">
      <c r="A24" s="14" t="inlineStr">
        <is>
          <t>FULLY SIGNED COMPL_DEF_Huurovereenkomst_Bond_Bergschot_Breda.pdf</t>
        </is>
      </c>
      <c r="B24" s="14" t="n"/>
      <c r="C24" s="15" t="inlineStr">
        <is>
          <t>Direct</t>
        </is>
      </c>
      <c r="D24" s="14" t="n"/>
      <c r="E24" s="14" t="n"/>
      <c r="F24" s="14" t="n"/>
      <c r="G24" s="14" t="n"/>
      <c r="H24" s="14" t="n">
        <v>0.9845590159644072</v>
      </c>
    </row>
    <row r="25">
      <c r="A25" s="14" t="inlineStr">
        <is>
          <t>FullySigned_Allonge_II_Virtual_Vaults_Nederland.pdf</t>
        </is>
      </c>
      <c r="B25" s="14" t="n"/>
      <c r="C25" s="15" t="inlineStr">
        <is>
          <t>Assignment</t>
        </is>
      </c>
      <c r="D25" s="14" t="n"/>
      <c r="E25" s="14" t="n"/>
      <c r="F25" s="14" t="n"/>
      <c r="G25" s="14" t="n"/>
      <c r="H25" s="14" t="n">
        <v>0.4924083769633508</v>
      </c>
    </row>
    <row r="26">
      <c r="A26" s="14" t="inlineStr">
        <is>
          <t>FullySigned_Lease_Agreement_Neste_EDGE_Coolsingel.pdf</t>
        </is>
      </c>
      <c r="B26" s="14" t="n"/>
      <c r="C26" s="15" t="inlineStr">
        <is>
          <t>Direct</t>
        </is>
      </c>
      <c r="D26" s="14" t="n"/>
      <c r="E26" s="14" t="n"/>
      <c r="F26" s="14" t="n"/>
      <c r="G26" s="14" t="n"/>
      <c r="H26" s="14" t="n">
        <v>0.9845590159644072</v>
      </c>
    </row>
    <row r="27">
      <c r="A27" s="14" t="inlineStr">
        <is>
          <t>HOK Waalhaven Group (signed).pdf</t>
        </is>
      </c>
      <c r="B27" s="14" t="n"/>
      <c r="C27" s="15" t="inlineStr">
        <is>
          <t>Direct</t>
        </is>
      </c>
      <c r="D27" s="14" t="n"/>
      <c r="E27" s="14" t="n"/>
      <c r="F27" s="14" t="n"/>
      <c r="G27" s="14" t="n"/>
      <c r="H27" s="14" t="n">
        <v>0.9845590159644072</v>
      </c>
    </row>
    <row r="28">
      <c r="A28" s="14" t="inlineStr">
        <is>
          <t>Hovk Avans  (3e+4e+5e verd.) 20140425.pdf</t>
        </is>
      </c>
      <c r="B28" s="14" t="n"/>
      <c r="C28" s="15" t="inlineStr">
        <is>
          <t>Direct</t>
        </is>
      </c>
      <c r="D28" s="14" t="n"/>
      <c r="E28" s="14" t="n"/>
      <c r="F28" s="14" t="n"/>
      <c r="G28" s="14" t="n"/>
      <c r="H28" s="14" t="n">
        <v>0.9845590159644072</v>
      </c>
    </row>
    <row r="29">
      <c r="A29" s="14" t="inlineStr">
        <is>
          <t>HOVK Power4People 2025.pdf</t>
        </is>
      </c>
      <c r="B29" s="14" t="n"/>
      <c r="C29" s="15" t="inlineStr">
        <is>
          <t>Flex Lease</t>
        </is>
      </c>
      <c r="D29" s="14" t="n"/>
      <c r="E29" s="14" t="n"/>
      <c r="F29" s="14" t="n"/>
      <c r="G29" s="14" t="n"/>
      <c r="H29" s="14" t="n">
        <v>0.973472364795505</v>
      </c>
    </row>
    <row r="30">
      <c r="A30" s="14" t="inlineStr">
        <is>
          <t>Huurovereenkomst (Semmie Group B.V.) - Wilhelminasingel 19, Breda.pdf</t>
        </is>
      </c>
      <c r="B30" s="14" t="n"/>
      <c r="C30" s="15" t="inlineStr">
        <is>
          <t>Direct</t>
        </is>
      </c>
      <c r="D30" s="14" t="n"/>
      <c r="E30" s="14" t="n"/>
      <c r="F30" s="14" t="n"/>
      <c r="G30" s="14" t="n"/>
      <c r="H30" s="14" t="n">
        <v>0.9743589743589743</v>
      </c>
    </row>
    <row r="31">
      <c r="A31" s="14" t="inlineStr">
        <is>
          <t>Huurovereenkomst - proces-verbaal van oplevering - sleuteloverdracht - Kennedyplein 101 - getekend.pdf</t>
        </is>
      </c>
      <c r="B31" s="14" t="n"/>
      <c r="C31" s="15" t="inlineStr">
        <is>
          <t>Direct</t>
        </is>
      </c>
      <c r="D31" s="14" t="n"/>
      <c r="E31" s="14" t="n"/>
      <c r="F31" s="14" t="n"/>
      <c r="G31" s="14" t="n"/>
      <c r="H31" s="14" t="n">
        <v>0.9820675105485231</v>
      </c>
    </row>
    <row r="32">
      <c r="A32" s="14" t="inlineStr">
        <is>
          <t>Huurovereenkomst Bijster 5 te Breda getekend.pdf</t>
        </is>
      </c>
      <c r="B32" s="14" t="n"/>
      <c r="C32" s="15" t="inlineStr">
        <is>
          <t>Direct</t>
        </is>
      </c>
      <c r="D32" s="14" t="n"/>
      <c r="E32" s="14" t="n"/>
      <c r="F32" s="14" t="n"/>
      <c r="G32" s="14" t="n"/>
      <c r="H32" s="14" t="n">
        <v>0.9845590159644072</v>
      </c>
    </row>
    <row r="33">
      <c r="A33" s="14" t="inlineStr">
        <is>
          <t>Huurovereenkomst Catena Pand Son - Skymark (Son en Breugel - NLD).pdf</t>
        </is>
      </c>
      <c r="B33" s="14" t="n"/>
      <c r="C33" s="15" t="inlineStr">
        <is>
          <t>Direct</t>
        </is>
      </c>
      <c r="D33" s="14" t="n"/>
      <c r="E33" s="14" t="n"/>
      <c r="F33" s="14" t="n"/>
      <c r="G33" s="14" t="n"/>
      <c r="H33" s="14" t="n">
        <v>0.9845590159644072</v>
      </c>
    </row>
    <row r="34">
      <c r="A34" s="14" t="inlineStr">
        <is>
          <t>Huurovereenkomst KPN Opstelpunt Parallelweg 64 20130313.pdf</t>
        </is>
      </c>
      <c r="B34" s="14" t="n"/>
      <c r="C34" s="15" t="inlineStr">
        <is>
          <t>Direct</t>
        </is>
      </c>
      <c r="D34" s="14" t="n"/>
      <c r="E34" s="14" t="n"/>
      <c r="F34" s="14" t="n"/>
      <c r="G34" s="14" t="n"/>
      <c r="H34" s="14" t="n">
        <v>0.9845590159644072</v>
      </c>
    </row>
    <row r="35">
      <c r="A35" s="14" t="inlineStr">
        <is>
          <t>Huurovereenkomst PBG Parallelweg 64 (beg.grond) 20121008.pdf</t>
        </is>
      </c>
      <c r="B35" s="14" t="n"/>
      <c r="C35" s="15" t="inlineStr">
        <is>
          <t>Direct</t>
        </is>
      </c>
      <c r="D35" s="14" t="n"/>
      <c r="E35" s="14" t="n"/>
      <c r="F35" s="14" t="n"/>
      <c r="G35" s="14" t="n"/>
      <c r="H35" s="14" t="n">
        <v>0.9820675105485231</v>
      </c>
    </row>
    <row r="36">
      <c r="A36" s="14" t="inlineStr">
        <is>
          <t>MWO CBRE SPA (ITALY) CBRE_090724.pdf</t>
        </is>
      </c>
      <c r="B36" s="14" t="n"/>
      <c r="C36" s="15" t="inlineStr">
        <is>
          <t>Direct</t>
        </is>
      </c>
      <c r="D36" s="14" t="n"/>
      <c r="E36" s="14" t="n"/>
      <c r="F36" s="14" t="n"/>
      <c r="G36" s="14" t="n"/>
      <c r="H36" s="14" t="n">
        <v>0.9820675105485231</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SqM</t>
        </is>
      </c>
      <c r="D2" s="14" t="n"/>
      <c r="E2" s="14" t="n"/>
      <c r="F2" s="14" t="n"/>
      <c r="G2" s="14" t="n"/>
      <c r="H2" s="14" t="n">
        <v>0.9647668393782383</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SqM</t>
        </is>
      </c>
      <c r="D3" s="14" t="n"/>
      <c r="E3" s="14" t="n"/>
      <c r="F3" s="14" t="n"/>
      <c r="G3" s="14" t="n"/>
      <c r="H3" s="14" t="n">
        <v>0.9743589743589743</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SqM</t>
        </is>
      </c>
      <c r="D4" s="14" t="n"/>
      <c r="E4" s="14" t="n"/>
      <c r="F4" s="14" t="n"/>
      <c r="G4" s="14" t="n"/>
      <c r="H4" s="14" t="n">
        <v>0.9743589743589743</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SqM</t>
        </is>
      </c>
      <c r="D5" s="14" t="n"/>
      <c r="E5" s="14" t="n"/>
      <c r="F5" s="14" t="n"/>
      <c r="G5" s="14" t="n"/>
      <c r="H5" s="14" t="n">
        <v>0.9845590159644072</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SqM</t>
        </is>
      </c>
      <c r="D6" s="14" t="n"/>
      <c r="E6" s="14" t="n"/>
      <c r="F6" s="14" t="n"/>
      <c r="G6" s="14" t="n"/>
      <c r="H6" s="14" t="n">
        <v>0.9743589743589743</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SqM</t>
        </is>
      </c>
      <c r="D7" s="14" t="n"/>
      <c r="E7" s="14" t="n"/>
      <c r="F7" s="14" t="n"/>
      <c r="G7" s="14" t="n"/>
      <c r="H7" s="14" t="n">
        <v>0.9743589743589743</v>
      </c>
      <c r="K7" s="17" t="inlineStr">
        <is>
          <t>Total Docs Tested</t>
        </is>
      </c>
      <c r="L7" s="19">
        <f>COUNTA(A2:A36)</f>
        <v/>
      </c>
      <c r="N7" s="17" t="inlineStr">
        <is>
          <t>Total Docs Tested</t>
        </is>
      </c>
      <c r="O7" s="19">
        <f>COUNTA(A2:A36)</f>
        <v/>
      </c>
    </row>
    <row r="8">
      <c r="A8" s="14" t="inlineStr">
        <is>
          <t>20260629 HOK ADHDcentraal BV (1).pdf</t>
        </is>
      </c>
      <c r="B8" s="14" t="n"/>
      <c r="C8" s="15" t="inlineStr">
        <is>
          <t>SqM</t>
        </is>
      </c>
      <c r="D8" s="14" t="n"/>
      <c r="E8" s="14" t="n"/>
      <c r="F8" s="14" t="n"/>
      <c r="G8" s="14" t="n"/>
      <c r="H8" s="14" t="n">
        <v>0.9845590159644072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SqM</t>
        </is>
      </c>
      <c r="D9" s="14" t="n"/>
      <c r="E9" s="14" t="n"/>
      <c r="F9" s="14" t="n"/>
      <c r="G9" s="14" t="n"/>
      <c r="H9" s="14" t="n">
        <v>0.9845590159644072</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SqM</t>
        </is>
      </c>
      <c r="D10" s="14" t="n"/>
      <c r="E10" s="14" t="n"/>
      <c r="F10" s="14" t="n"/>
      <c r="G10" s="14" t="n"/>
      <c r="H10" s="14" t="n">
        <v>0.9743589743589743</v>
      </c>
      <c r="K10" s="20" t="inlineStr">
        <is>
          <t>Highlighted rows = file(s) not in the annotation sheet; excluded from all metrics above.</t>
        </is>
      </c>
    </row>
    <row r="11">
      <c r="A11" s="14" t="inlineStr">
        <is>
          <t>20270801 - Getekende Allonge II Advario BV.pdf</t>
        </is>
      </c>
      <c r="B11" s="14" t="n"/>
      <c r="C11" s="15" t="inlineStr">
        <is>
          <t>SqM</t>
        </is>
      </c>
      <c r="D11" s="14" t="n"/>
      <c r="E11" s="14" t="n"/>
      <c r="F11" s="14" t="n"/>
      <c r="G11" s="14" t="n"/>
      <c r="H11" s="14" t="n">
        <v>0.9743589743589743</v>
      </c>
      <c r="K11" s="17" t="inlineStr">
        <is>
          <t>Validation Rules Example</t>
        </is>
      </c>
    </row>
    <row r="12">
      <c r="A12" s="14" t="inlineStr">
        <is>
          <t>240119 HOVK Spoorlaan 446-448 Tilburg signed.pdf</t>
        </is>
      </c>
      <c r="B12" s="14" t="n"/>
      <c r="C12" s="15" t="inlineStr">
        <is>
          <t>SqM</t>
        </is>
      </c>
      <c r="D12" s="14" t="n"/>
      <c r="E12" s="14" t="n"/>
      <c r="F12" s="14" t="n"/>
      <c r="G12" s="14" t="n"/>
      <c r="H12" s="14" t="n">
        <v>0.9845590159644072</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SqM</t>
        </is>
      </c>
      <c r="D13" s="14" t="n"/>
      <c r="E13" s="14" t="n"/>
      <c r="F13" s="14" t="n"/>
      <c r="G13" s="14" t="n"/>
      <c r="H13" s="14" t="n">
        <v>0.9743589743589743</v>
      </c>
      <c r="K13" t="n">
        <v>100</v>
      </c>
      <c r="L13" t="n">
        <v>100</v>
      </c>
      <c r="M13" t="inlineStr">
        <is>
          <t>TP</t>
        </is>
      </c>
    </row>
    <row r="14">
      <c r="A14" s="14" t="inlineStr">
        <is>
          <t>CBRE_AT_Services_ENG_-_RITUALS_CBRE signed.pdf</t>
        </is>
      </c>
      <c r="B14" s="14" t="n"/>
      <c r="C14" s="15" t="inlineStr">
        <is>
          <t>SqM</t>
        </is>
      </c>
      <c r="D14" s="14" t="n"/>
      <c r="E14" s="14" t="n"/>
      <c r="F14" s="14" t="n"/>
      <c r="G14" s="14" t="n"/>
      <c r="H14" s="14" t="n">
        <v>0.9845590159644072</v>
      </c>
      <c r="L14" t="n">
        <v>100</v>
      </c>
      <c r="M14" t="inlineStr">
        <is>
          <t>FP</t>
        </is>
      </c>
    </row>
    <row r="15">
      <c r="A15" s="14" t="inlineStr">
        <is>
          <t>CBRE_Engagement_Letter_Alnylam_20260525_CLEAN_Version_signed all.pdf</t>
        </is>
      </c>
      <c r="B15" s="14" t="n"/>
      <c r="C15" s="15" t="inlineStr">
        <is>
          <t>SqM</t>
        </is>
      </c>
      <c r="D15" s="14" t="n"/>
      <c r="E15" s="14" t="n"/>
      <c r="F15" s="14" t="n"/>
      <c r="G15" s="14" t="n"/>
      <c r="H15" s="14" t="n">
        <v>0.9845590159644072</v>
      </c>
      <c r="K15" t="n">
        <v>100</v>
      </c>
      <c r="L15" t="n">
        <v>200</v>
      </c>
      <c r="M15" t="inlineStr">
        <is>
          <t>FP</t>
        </is>
      </c>
    </row>
    <row r="16">
      <c r="A16" s="14" t="inlineStr">
        <is>
          <t>COMPL DEF Huurovereenkomst - Skybox - Pepperl+Fuchs - 20260204.pdf</t>
        </is>
      </c>
      <c r="B16" s="14" t="n"/>
      <c r="C16" s="15" t="inlineStr">
        <is>
          <t>SqM</t>
        </is>
      </c>
      <c r="D16" s="14" t="n"/>
      <c r="E16" s="14" t="n"/>
      <c r="F16" s="14" t="n"/>
      <c r="G16" s="14" t="n"/>
      <c r="H16" s="14" t="n">
        <v>0.9743589743589743</v>
      </c>
      <c r="K16" t="n">
        <v>100</v>
      </c>
      <c r="M16" t="inlineStr">
        <is>
          <t>FN</t>
        </is>
      </c>
    </row>
    <row r="17">
      <c r="A17" s="14" t="inlineStr">
        <is>
          <t>COMPL Huurovereenkomst - Stichting CCE - Kantoorgebouw Metzpoint I Dr. Holtroplaan - Fully Signed.pdf</t>
        </is>
      </c>
      <c r="B17" s="14" t="n"/>
      <c r="C17" s="15" t="inlineStr">
        <is>
          <t>SqM</t>
        </is>
      </c>
      <c r="D17" s="14" t="n"/>
      <c r="E17" s="14" t="n"/>
      <c r="F17" s="14" t="n"/>
      <c r="G17" s="14" t="n"/>
      <c r="H17" s="14" t="n">
        <v>0.9845590159644072</v>
      </c>
      <c r="M17" t="inlineStr">
        <is>
          <t>TN</t>
        </is>
      </c>
    </row>
    <row r="18">
      <c r="A18" s="14" t="inlineStr">
        <is>
          <t>COMPL Regel Partners - HOVK - Luchthavenweg 81 - 20260728.pdf</t>
        </is>
      </c>
      <c r="B18" s="14" t="n"/>
      <c r="C18" s="15" t="inlineStr">
        <is>
          <t>SqM</t>
        </is>
      </c>
      <c r="D18" s="14" t="n"/>
      <c r="E18" s="14" t="n"/>
      <c r="F18" s="14" t="n"/>
      <c r="G18" s="14" t="n"/>
      <c r="H18" s="14" t="n">
        <v>0.9743589743589743</v>
      </c>
    </row>
    <row r="19">
      <c r="A19" s="14" t="inlineStr">
        <is>
          <t>COMPL_-_Onderhuurovereenkomst_Zelfstroom_B.V._-_50five_B.V._-_kantoorgebouw_Riva_-_05032026.pdf</t>
        </is>
      </c>
      <c r="B19" s="14" t="n"/>
      <c r="C19" s="15" t="inlineStr">
        <is>
          <t>SqM</t>
        </is>
      </c>
      <c r="D19" s="14" t="n"/>
      <c r="E19" s="14" t="n"/>
      <c r="F19" s="14" t="n"/>
      <c r="G19" s="14" t="n"/>
      <c r="H19" s="14" t="n">
        <v>0.9845590159644072</v>
      </c>
      <c r="K19" s="17" t="inlineStr">
        <is>
          <t>Field:</t>
        </is>
      </c>
      <c r="L19" t="inlineStr">
        <is>
          <t>Lease_Comp_Details / ref_total_leased_space_uom_desc</t>
        </is>
      </c>
    </row>
    <row r="20">
      <c r="A20" s="14" t="inlineStr">
        <is>
          <t>Den Bosch, Ruwekampweg 4, HOVK getekend.pdf</t>
        </is>
      </c>
      <c r="B20" s="14" t="n"/>
      <c r="C20" s="15" t="inlineStr">
        <is>
          <t>SqM</t>
        </is>
      </c>
      <c r="D20" s="14" t="n"/>
      <c r="E20" s="14" t="n"/>
      <c r="F20" s="14" t="n"/>
      <c r="G20" s="14" t="n"/>
      <c r="H20" s="14" t="n">
        <v>0.9743589743589743</v>
      </c>
    </row>
    <row r="21">
      <c r="A21" s="14" t="inlineStr">
        <is>
          <t>FULLY SIGNED - COMPL Huurovereenkomst - Heijmans - Hugo de Grootlaan 23 's-Hertogenbosch V2 30-9-2025.pdf</t>
        </is>
      </c>
      <c r="B21" s="14" t="n"/>
      <c r="C21" s="15" t="inlineStr">
        <is>
          <t>SqM</t>
        </is>
      </c>
      <c r="D21" s="14" t="n"/>
      <c r="E21" s="14" t="n"/>
      <c r="F21" s="14" t="n"/>
      <c r="G21" s="14" t="n"/>
      <c r="H21" s="14" t="n">
        <v>0.9845590159644072</v>
      </c>
    </row>
    <row r="22">
      <c r="A22" s="14" t="inlineStr">
        <is>
          <t>FULLY SIGNED - DEF_COMPL_Huurovereenkomst_Robo_Charge_-_Campus_Offices_-_20260220.pdf</t>
        </is>
      </c>
      <c r="B22" s="14" t="n"/>
      <c r="C22" s="15" t="inlineStr">
        <is>
          <t>SqM</t>
        </is>
      </c>
      <c r="D22" s="14" t="n"/>
      <c r="E22" s="14" t="n"/>
      <c r="F22" s="14" t="n"/>
      <c r="G22" s="14" t="n"/>
      <c r="H22" s="14" t="n">
        <v>0.9845590159644072</v>
      </c>
    </row>
    <row r="23">
      <c r="A23" s="14" t="inlineStr">
        <is>
          <t>FULLY SIGNED - Onderhuurovereenkomst Aartshertogenlaan 223, `s-Hertogenbosch - Koning Willem I College B.V. 2606202.pdf</t>
        </is>
      </c>
      <c r="B23" s="14" t="n"/>
      <c r="C23" s="15" t="inlineStr">
        <is>
          <t>SqM</t>
        </is>
      </c>
      <c r="D23" s="14" t="n"/>
      <c r="E23" s="14" t="n"/>
      <c r="F23" s="14" t="n"/>
      <c r="G23" s="14" t="n"/>
      <c r="H23" s="14" t="n">
        <v>0.9845590159644072</v>
      </c>
    </row>
    <row r="24">
      <c r="A24" s="14" t="inlineStr">
        <is>
          <t>FULLY SIGNED COMPL_DEF_Huurovereenkomst_Bond_Bergschot_Breda.pdf</t>
        </is>
      </c>
      <c r="B24" s="14" t="n"/>
      <c r="C24" s="15" t="inlineStr">
        <is>
          <t>SqM</t>
        </is>
      </c>
      <c r="D24" s="14" t="n"/>
      <c r="E24" s="14" t="n"/>
      <c r="F24" s="14" t="n"/>
      <c r="G24" s="14" t="n"/>
      <c r="H24" s="14" t="n">
        <v>0.9743589743589743</v>
      </c>
    </row>
    <row r="25">
      <c r="A25" s="14" t="inlineStr">
        <is>
          <t>FullySigned_Allonge_II_Virtual_Vaults_Nederland.pdf</t>
        </is>
      </c>
      <c r="B25" s="14" t="n"/>
      <c r="C25" s="15" t="inlineStr">
        <is>
          <t>SqM</t>
        </is>
      </c>
      <c r="D25" s="14" t="n"/>
      <c r="E25" s="14" t="n"/>
      <c r="F25" s="14" t="n"/>
      <c r="G25" s="14" t="n"/>
      <c r="H25" s="14" t="n">
        <v>0.9845590159644072</v>
      </c>
    </row>
    <row r="26">
      <c r="A26" s="14" t="inlineStr">
        <is>
          <t>FullySigned_Lease_Agreement_Neste_EDGE_Coolsingel.pdf</t>
        </is>
      </c>
      <c r="B26" s="14" t="n"/>
      <c r="C26" s="15" t="inlineStr">
        <is>
          <t>SqM</t>
        </is>
      </c>
      <c r="D26" s="14" t="n"/>
      <c r="E26" s="14" t="n"/>
      <c r="F26" s="14" t="n"/>
      <c r="G26" s="14" t="n"/>
      <c r="H26" s="14" t="n">
        <v>0.9743589743589743</v>
      </c>
    </row>
    <row r="27">
      <c r="A27" s="14" t="inlineStr">
        <is>
          <t>HOK Waalhaven Group (signed).pdf</t>
        </is>
      </c>
      <c r="B27" s="14" t="n"/>
      <c r="C27" s="15" t="inlineStr">
        <is>
          <t>SqM</t>
        </is>
      </c>
      <c r="D27" s="14" t="n"/>
      <c r="E27" s="14" t="n"/>
      <c r="F27" s="14" t="n"/>
      <c r="G27" s="14" t="n"/>
      <c r="H27" s="14" t="n">
        <v>0.9743589743589743</v>
      </c>
    </row>
    <row r="28">
      <c r="A28" s="14" t="inlineStr">
        <is>
          <t>Hovk Avans  (3e+4e+5e verd.) 20140425.pdf</t>
        </is>
      </c>
      <c r="B28" s="14" t="n"/>
      <c r="C28" s="15" t="inlineStr">
        <is>
          <t>SqM</t>
        </is>
      </c>
      <c r="D28" s="14" t="n"/>
      <c r="E28" s="14" t="n"/>
      <c r="F28" s="14" t="n"/>
      <c r="G28" s="14" t="n"/>
      <c r="H28" s="14" t="n">
        <v>0.9743589743589743</v>
      </c>
    </row>
    <row r="29">
      <c r="A29" s="14" t="inlineStr">
        <is>
          <t>HOVK Power4People 2025.pdf</t>
        </is>
      </c>
      <c r="B29" s="14" t="n"/>
      <c r="C29" s="15" t="inlineStr">
        <is>
          <t>SqM</t>
        </is>
      </c>
      <c r="D29" s="14" t="n"/>
      <c r="E29" s="14" t="n"/>
      <c r="F29" s="14" t="n"/>
      <c r="G29" s="14" t="n"/>
      <c r="H29" s="14" t="n">
        <v>0.9449735449735449</v>
      </c>
    </row>
    <row r="30">
      <c r="A30" s="14" t="inlineStr">
        <is>
          <t>Huurovereenkomst (Semmie Group B.V.) - Wilhelminasingel 19, Breda.pdf</t>
        </is>
      </c>
      <c r="B30" s="14" t="n"/>
      <c r="C30" s="15" t="inlineStr">
        <is>
          <t>SqM</t>
        </is>
      </c>
      <c r="D30" s="14" t="n"/>
      <c r="E30" s="14" t="n"/>
      <c r="F30" s="14" t="n"/>
      <c r="G30" s="14" t="n"/>
      <c r="H30" s="14" t="n">
        <v>0.9743589743589743</v>
      </c>
    </row>
    <row r="31">
      <c r="A31" s="14" t="inlineStr">
        <is>
          <t>Huurovereenkomst - proces-verbaal van oplevering - sleuteloverdracht - Kennedyplein 101 - getekend.pdf</t>
        </is>
      </c>
      <c r="B31" s="14" t="n"/>
      <c r="C31" s="15" t="inlineStr">
        <is>
          <t>SqM</t>
        </is>
      </c>
      <c r="D31" s="14" t="n"/>
      <c r="E31" s="14" t="n"/>
      <c r="F31" s="14" t="n"/>
      <c r="G31" s="14" t="n"/>
      <c r="H31" s="14" t="n">
        <v>0.9845590159644072</v>
      </c>
    </row>
    <row r="32">
      <c r="A32" s="14" t="inlineStr">
        <is>
          <t>Huurovereenkomst Bijster 5 te Breda getekend.pdf</t>
        </is>
      </c>
      <c r="B32" s="14" t="n"/>
      <c r="C32" s="15" t="inlineStr">
        <is>
          <t>SqM</t>
        </is>
      </c>
      <c r="D32" s="14" t="n"/>
      <c r="E32" s="14" t="n"/>
      <c r="F32" s="14" t="n"/>
      <c r="G32" s="14" t="n"/>
      <c r="H32" s="14" t="n">
        <v>0.9743589743589743</v>
      </c>
    </row>
    <row r="33">
      <c r="A33" s="14" t="inlineStr">
        <is>
          <t>Huurovereenkomst Catena Pand Son - Skymark (Son en Breugel - NLD).pdf</t>
        </is>
      </c>
      <c r="B33" s="14" t="n"/>
      <c r="C33" s="15" t="inlineStr">
        <is>
          <t>SqM</t>
        </is>
      </c>
      <c r="D33" s="14" t="n"/>
      <c r="E33" s="14" t="n"/>
      <c r="F33" s="14" t="n"/>
      <c r="G33" s="14" t="n"/>
      <c r="H33" s="14" t="n">
        <v>0.9500000000000001</v>
      </c>
    </row>
    <row r="34">
      <c r="A34" s="14" t="inlineStr">
        <is>
          <t>Huurovereenkomst KPN Opstelpunt Parallelweg 64 20130313.pdf</t>
        </is>
      </c>
      <c r="B34" s="14" t="n"/>
      <c r="C34" s="15" t="inlineStr">
        <is>
          <t>SqM</t>
        </is>
      </c>
      <c r="D34" s="14" t="n"/>
      <c r="E34" s="14" t="n"/>
      <c r="F34" s="14" t="n"/>
      <c r="G34" s="14" t="n"/>
      <c r="H34" s="14" t="n">
        <v>0.9845590159644072</v>
      </c>
    </row>
    <row r="35">
      <c r="A35" s="14" t="inlineStr">
        <is>
          <t>Huurovereenkomst PBG Parallelweg 64 (beg.grond) 20121008.pdf</t>
        </is>
      </c>
      <c r="B35" s="14" t="n"/>
      <c r="C35" s="15" t="inlineStr">
        <is>
          <t>SqM</t>
        </is>
      </c>
      <c r="D35" s="14" t="n"/>
      <c r="E35" s="14" t="n"/>
      <c r="F35" s="14" t="n"/>
      <c r="G35" s="14" t="n"/>
      <c r="H35" s="14" t="n">
        <v>0.9845590159644072</v>
      </c>
    </row>
    <row r="36">
      <c r="A36" s="14" t="inlineStr">
        <is>
          <t>MWO CBRE SPA (ITALY) CBRE_090724.pdf</t>
        </is>
      </c>
      <c r="B36" s="14" t="n"/>
      <c r="C36" s="15" t="inlineStr">
        <is>
          <t>SqM</t>
        </is>
      </c>
      <c r="D36" s="14" t="n"/>
      <c r="E36" s="14" t="n"/>
      <c r="F36" s="14" t="n"/>
      <c r="G36" s="14" t="n"/>
      <c r="H36" s="14" t="n">
        <v>0.9500000000000001</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Core And Shell</t>
        </is>
      </c>
      <c r="D2" s="14" t="n"/>
      <c r="E2" s="14" t="n"/>
      <c r="F2" s="14" t="n"/>
      <c r="G2" s="14" t="n"/>
      <c r="H2" s="14" t="n">
        <v>0.4565707133917395</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Fitted Out</t>
        </is>
      </c>
      <c r="D3" s="14" t="n"/>
      <c r="E3" s="14" t="n"/>
      <c r="F3" s="14" t="n"/>
      <c r="G3" s="14" t="n"/>
      <c r="H3" s="14" t="n">
        <v>0.9743589743589743</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Core And Shell</t>
        </is>
      </c>
      <c r="D4" s="14" t="n"/>
      <c r="E4" s="14" t="n"/>
      <c r="F4" s="14" t="n"/>
      <c r="G4" s="14" t="n"/>
      <c r="H4" s="14" t="n">
        <v>0.9795376029763487</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Fitted Out</t>
        </is>
      </c>
      <c r="D5" s="14" t="n"/>
      <c r="E5" s="14" t="n"/>
      <c r="F5" s="14" t="n"/>
      <c r="G5" s="14" t="n"/>
      <c r="H5" s="14" t="n">
        <v>0.9820675105485231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Fitted Out</t>
        </is>
      </c>
      <c r="D6" s="14" t="n"/>
      <c r="E6" s="14" t="n"/>
      <c r="F6" s="14" t="n"/>
      <c r="G6" s="14" t="n"/>
      <c r="H6" s="14" t="n">
        <v>0.2128274616079496</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Fitted Out</t>
        </is>
      </c>
      <c r="D7" s="14" t="n"/>
      <c r="E7" s="14" t="n"/>
      <c r="F7" s="14" t="n"/>
      <c r="G7" s="14" t="n"/>
      <c r="H7" s="14" t="n">
        <v>0.9845590159644072</v>
      </c>
      <c r="K7" s="17" t="inlineStr">
        <is>
          <t>Total Docs Tested</t>
        </is>
      </c>
      <c r="L7" s="19">
        <f>COUNTA(A2:A36)</f>
        <v/>
      </c>
      <c r="N7" s="17" t="inlineStr">
        <is>
          <t>Total Docs Tested</t>
        </is>
      </c>
      <c r="O7" s="19">
        <f>COUNTA(A2:A36)</f>
        <v/>
      </c>
    </row>
    <row r="8">
      <c r="A8" s="14" t="inlineStr">
        <is>
          <t>20260629 HOK ADHDcentraal BV (1).pdf</t>
        </is>
      </c>
      <c r="B8" s="14" t="n"/>
      <c r="C8" s="15" t="inlineStr">
        <is>
          <t>Fitted Out</t>
        </is>
      </c>
      <c r="D8" s="14" t="n"/>
      <c r="E8" s="14" t="n"/>
      <c r="F8" s="14" t="n"/>
      <c r="G8" s="14" t="n"/>
      <c r="H8" s="14" t="n">
        <v>0.9795376029763487</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Fitted Out</t>
        </is>
      </c>
      <c r="D9" s="14" t="n"/>
      <c r="E9" s="14" t="n"/>
      <c r="F9" s="14" t="n"/>
      <c r="G9" s="14" t="n"/>
      <c r="H9" s="14" t="n">
        <v>0.9690156292843433</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Fitted Out</t>
        </is>
      </c>
      <c r="D10" s="14" t="n"/>
      <c r="E10" s="14" t="n"/>
      <c r="F10" s="14" t="n"/>
      <c r="G10" s="14" t="n"/>
      <c r="H10" s="14" t="n">
        <v>0.9743589743589743</v>
      </c>
      <c r="K10" s="20" t="inlineStr">
        <is>
          <t>Highlighted rows = file(s) not in the annotation sheet; excluded from all metrics above.</t>
        </is>
      </c>
    </row>
    <row r="11">
      <c r="A11" s="14" t="inlineStr">
        <is>
          <t>20270801 - Getekende Allonge II Advario BV.pdf</t>
        </is>
      </c>
      <c r="B11" s="14" t="n"/>
      <c r="C11" s="15" t="inlineStr">
        <is>
          <t>Fitted Out</t>
        </is>
      </c>
      <c r="D11" s="14" t="n"/>
      <c r="E11" s="14" t="n"/>
      <c r="F11" s="14" t="n"/>
      <c r="G11" s="14" t="n"/>
      <c r="H11" s="14" t="n">
        <v>0.4548262548262547</v>
      </c>
      <c r="K11" s="17" t="inlineStr">
        <is>
          <t>Validation Rules Example</t>
        </is>
      </c>
    </row>
    <row r="12">
      <c r="A12" s="14" t="inlineStr">
        <is>
          <t>240119 HOVK Spoorlaan 446-448 Tilburg signed.pdf</t>
        </is>
      </c>
      <c r="B12" s="14" t="n"/>
      <c r="C12" s="15" t="inlineStr">
        <is>
          <t>Fitted Out</t>
        </is>
      </c>
      <c r="D12" s="14" t="n"/>
      <c r="E12" s="14" t="n"/>
      <c r="F12" s="14" t="n"/>
      <c r="G12" s="14" t="n"/>
      <c r="H12" s="14" t="n">
        <v>0.9820675105485231</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Fitted Out</t>
        </is>
      </c>
      <c r="D13" s="14" t="n"/>
      <c r="E13" s="14" t="n"/>
      <c r="F13" s="14" t="n"/>
      <c r="G13" s="14" t="n"/>
      <c r="H13" s="14" t="n">
        <v>0.9769683985002677</v>
      </c>
      <c r="K13" t="n">
        <v>100</v>
      </c>
      <c r="L13" t="n">
        <v>100</v>
      </c>
      <c r="M13" t="inlineStr">
        <is>
          <t>TP</t>
        </is>
      </c>
    </row>
    <row r="14">
      <c r="A14" s="14" t="inlineStr">
        <is>
          <t>CBRE_AT_Services_ENG_-_RITUALS_CBRE signed.pdf</t>
        </is>
      </c>
      <c r="B14" s="14" t="n"/>
      <c r="C14" s="15" t="inlineStr">
        <is>
          <t>Core And Shell</t>
        </is>
      </c>
      <c r="D14" s="14" t="n"/>
      <c r="E14" s="14" t="n"/>
      <c r="F14" s="14" t="n"/>
      <c r="G14" s="14" t="n"/>
      <c r="H14" s="14" t="n">
        <v>0.9743589743589743</v>
      </c>
      <c r="L14" t="n">
        <v>100</v>
      </c>
      <c r="M14" t="inlineStr">
        <is>
          <t>FP</t>
        </is>
      </c>
    </row>
    <row r="15">
      <c r="A15" s="14" t="inlineStr">
        <is>
          <t>CBRE_Engagement_Letter_Alnylam_20260525_CLEAN_Version_signed all.pdf</t>
        </is>
      </c>
      <c r="B15" s="14" t="n"/>
      <c r="C15" s="15" t="inlineStr">
        <is>
          <t>To Be Agreed Upon</t>
        </is>
      </c>
      <c r="D15" s="14" t="n"/>
      <c r="E15" s="14" t="n"/>
      <c r="F15" s="14" t="n"/>
      <c r="G15" s="14" t="n"/>
      <c r="H15" s="14" t="n">
        <v>0.9528795811518325</v>
      </c>
      <c r="K15" t="n">
        <v>100</v>
      </c>
      <c r="L15" t="n">
        <v>200</v>
      </c>
      <c r="M15" t="inlineStr">
        <is>
          <t>FP</t>
        </is>
      </c>
    </row>
    <row r="16">
      <c r="A16" s="14" t="inlineStr">
        <is>
          <t>COMPL DEF Huurovereenkomst - Skybox - Pepperl+Fuchs - 20260204.pdf</t>
        </is>
      </c>
      <c r="B16" s="14" t="n"/>
      <c r="C16" s="15" t="inlineStr">
        <is>
          <t>Turn-Key</t>
        </is>
      </c>
      <c r="D16" s="14" t="n"/>
      <c r="E16" s="14" t="n"/>
      <c r="F16" s="14" t="n"/>
      <c r="G16" s="14" t="n"/>
      <c r="H16" s="14" t="n">
        <v>0.9845590159644072</v>
      </c>
      <c r="K16" t="n">
        <v>100</v>
      </c>
      <c r="M16" t="inlineStr">
        <is>
          <t>FN</t>
        </is>
      </c>
    </row>
    <row r="17">
      <c r="A17" s="14" t="inlineStr">
        <is>
          <t>COMPL Huurovereenkomst - Stichting CCE - Kantoorgebouw Metzpoint I Dr. Holtroplaan - Fully Signed.pdf</t>
        </is>
      </c>
      <c r="B17" s="14" t="n"/>
      <c r="C17" s="15" t="inlineStr">
        <is>
          <t>Fitted Out</t>
        </is>
      </c>
      <c r="D17" s="14" t="n"/>
      <c r="E17" s="14" t="n"/>
      <c r="F17" s="14" t="n"/>
      <c r="G17" s="14" t="n"/>
      <c r="H17" s="14" t="n">
        <v>0.4559999999999998</v>
      </c>
      <c r="M17" t="inlineStr">
        <is>
          <t>TN</t>
        </is>
      </c>
    </row>
    <row r="18">
      <c r="A18" s="14" t="inlineStr">
        <is>
          <t>COMPL Regel Partners - HOVK - Luchthavenweg 81 - 20260728.pdf</t>
        </is>
      </c>
      <c r="B18" s="14" t="n"/>
      <c r="C18" s="15" t="inlineStr">
        <is>
          <t>Turn-Key</t>
        </is>
      </c>
      <c r="D18" s="14" t="n"/>
      <c r="E18" s="14" t="n"/>
      <c r="F18" s="14" t="n"/>
      <c r="G18" s="14" t="n"/>
      <c r="H18" s="14" t="n">
        <v>0.9820675105485231</v>
      </c>
    </row>
    <row r="19">
      <c r="A19" s="14" t="inlineStr">
        <is>
          <t>COMPL_-_Onderhuurovereenkomst_Zelfstroom_B.V._-_50five_B.V._-_kantoorgebouw_Riva_-_05032026.pdf</t>
        </is>
      </c>
      <c r="B19" s="14" t="n"/>
      <c r="C19" s="15" t="inlineStr">
        <is>
          <t>Fitted Out</t>
        </is>
      </c>
      <c r="D19" s="14" t="n"/>
      <c r="E19" s="14" t="n"/>
      <c r="F19" s="14" t="n"/>
      <c r="G19" s="14" t="n"/>
      <c r="H19" s="14" t="n">
        <v>0.9606741573033707</v>
      </c>
      <c r="K19" s="17" t="inlineStr">
        <is>
          <t>Field:</t>
        </is>
      </c>
      <c r="L19" t="inlineStr">
        <is>
          <t>Lease_Comp_Details / space_condition_type_desc</t>
        </is>
      </c>
    </row>
    <row r="20">
      <c r="A20" s="14" t="inlineStr">
        <is>
          <t>Den Bosch, Ruwekampweg 4, HOVK getekend.pdf</t>
        </is>
      </c>
      <c r="B20" s="14" t="n"/>
      <c r="C20" s="15" t="inlineStr">
        <is>
          <t>Turn-Key</t>
        </is>
      </c>
      <c r="D20" s="14" t="n"/>
      <c r="E20" s="14" t="n"/>
      <c r="F20" s="14" t="n"/>
      <c r="G20" s="14" t="n"/>
      <c r="H20" s="14" t="n">
        <v>0.9845590159644072</v>
      </c>
    </row>
    <row r="21">
      <c r="A21" s="14" t="inlineStr">
        <is>
          <t>FULLY SIGNED - COMPL Huurovereenkomst - Heijmans - Hugo de Grootlaan 23 's-Hertogenbosch V2 30-9-2025.pdf</t>
        </is>
      </c>
      <c r="B21" s="14" t="n"/>
      <c r="C21" s="15" t="inlineStr">
        <is>
          <t>Fitted Out</t>
        </is>
      </c>
      <c r="D21" s="14" t="n"/>
      <c r="E21" s="14" t="n"/>
      <c r="F21" s="14" t="n"/>
      <c r="G21" s="14" t="n"/>
      <c r="H21" s="14" t="n">
        <v>0.9743589743589743</v>
      </c>
    </row>
    <row r="22">
      <c r="A22" s="14" t="inlineStr">
        <is>
          <t>FULLY SIGNED - DEF_COMPL_Huurovereenkomst_Robo_Charge_-_Campus_Offices_-_20260220.pdf</t>
        </is>
      </c>
      <c r="B22" s="14" t="n"/>
      <c r="C22" s="15" t="inlineStr">
        <is>
          <t>Fitted Out</t>
        </is>
      </c>
      <c r="D22" s="14" t="n"/>
      <c r="E22" s="14" t="n"/>
      <c r="F22" s="14" t="n"/>
      <c r="G22" s="14" t="n"/>
      <c r="H22" s="14" t="n">
        <v>0.9820675105485231</v>
      </c>
    </row>
    <row r="23">
      <c r="A23" s="14" t="inlineStr">
        <is>
          <t>FULLY SIGNED - Onderhuurovereenkomst Aartshertogenlaan 223, `s-Hertogenbosch - Koning Willem I College B.V. 2606202.pdf</t>
        </is>
      </c>
      <c r="B23" s="14" t="n"/>
      <c r="C23" s="15" t="inlineStr">
        <is>
          <t>Fitted Out</t>
        </is>
      </c>
      <c r="D23" s="14" t="n"/>
      <c r="E23" s="14" t="n"/>
      <c r="F23" s="14" t="n"/>
      <c r="G23" s="14" t="n"/>
      <c r="H23" s="14" t="n">
        <v>0.9795376029763487</v>
      </c>
    </row>
    <row r="24">
      <c r="A24" s="14" t="inlineStr">
        <is>
          <t>FULLY SIGNED COMPL_DEF_Huurovereenkomst_Bond_Bergschot_Breda.pdf</t>
        </is>
      </c>
      <c r="B24" s="14" t="n"/>
      <c r="C24" s="15" t="inlineStr">
        <is>
          <t>Fitted Out</t>
        </is>
      </c>
      <c r="D24" s="14" t="n"/>
      <c r="E24" s="14" t="n"/>
      <c r="F24" s="14" t="n"/>
      <c r="G24" s="14" t="n"/>
      <c r="H24" s="14" t="n">
        <v>0.9795376029763487</v>
      </c>
    </row>
    <row r="25">
      <c r="A25" s="14" t="inlineStr">
        <is>
          <t>FullySigned_Allonge_II_Virtual_Vaults_Nederland.pdf</t>
        </is>
      </c>
      <c r="B25" s="14" t="n"/>
      <c r="C25" s="15" t="inlineStr">
        <is>
          <t>Fitted Out</t>
        </is>
      </c>
      <c r="D25" s="14" t="n"/>
      <c r="E25" s="14" t="n"/>
      <c r="F25" s="14" t="n"/>
      <c r="G25" s="14" t="n"/>
      <c r="H25" s="14" t="n">
        <v>0.9795376029763487</v>
      </c>
    </row>
    <row r="26">
      <c r="A26" s="14" t="inlineStr">
        <is>
          <t>FullySigned_Lease_Agreement_Neste_EDGE_Coolsingel.pdf</t>
        </is>
      </c>
      <c r="B26" s="14" t="n"/>
      <c r="C26" s="15" t="inlineStr">
        <is>
          <t>Core And Shell</t>
        </is>
      </c>
      <c r="D26" s="14" t="n"/>
      <c r="E26" s="14" t="n"/>
      <c r="F26" s="14" t="n"/>
      <c r="G26" s="14" t="n"/>
      <c r="H26" s="14" t="n">
        <v>0.9845590159644072</v>
      </c>
    </row>
    <row r="27">
      <c r="A27" s="14" t="inlineStr">
        <is>
          <t>HOK Waalhaven Group (signed).pdf</t>
        </is>
      </c>
      <c r="B27" s="14" t="n"/>
      <c r="C27" s="15" t="inlineStr">
        <is>
          <t>Fitted Out</t>
        </is>
      </c>
      <c r="D27" s="14" t="n"/>
      <c r="E27" s="14" t="n"/>
      <c r="F27" s="14" t="n"/>
      <c r="G27" s="14" t="n"/>
      <c r="H27" s="14" t="n">
        <v>0.9690156292843433</v>
      </c>
    </row>
    <row r="28">
      <c r="A28" s="14" t="inlineStr">
        <is>
          <t>Hovk Avans  (3e+4e+5e verd.) 20140425.pdf</t>
        </is>
      </c>
      <c r="B28" s="14" t="n"/>
      <c r="C28" s="15" t="inlineStr">
        <is>
          <t>Fitted Out</t>
        </is>
      </c>
      <c r="D28" s="14" t="n"/>
      <c r="E28" s="14" t="n"/>
      <c r="F28" s="14" t="n"/>
      <c r="G28" s="14" t="n"/>
      <c r="H28" s="14" t="n">
        <v>0.4559999999999998</v>
      </c>
    </row>
    <row r="29">
      <c r="A29" s="14" t="inlineStr">
        <is>
          <t>HOVK Power4People 2025.pdf</t>
        </is>
      </c>
      <c r="B29" s="14" t="n"/>
      <c r="C29" s="15" t="inlineStr">
        <is>
          <t>Turn-Key</t>
        </is>
      </c>
      <c r="D29" s="14" t="n"/>
      <c r="E29" s="14" t="n"/>
      <c r="F29" s="14" t="n"/>
      <c r="G29" s="14" t="n"/>
      <c r="H29" s="14" t="n">
        <v>0.2133307610687761</v>
      </c>
    </row>
    <row r="30">
      <c r="A30" s="14" t="inlineStr">
        <is>
          <t>Huurovereenkomst (Semmie Group B.V.) - Wilhelminasingel 19, Breda.pdf</t>
        </is>
      </c>
      <c r="B30" s="14" t="n"/>
      <c r="C30" s="15" t="inlineStr">
        <is>
          <t>Fitted Out</t>
        </is>
      </c>
      <c r="D30" s="14" t="n"/>
      <c r="E30" s="14" t="n"/>
      <c r="F30" s="14" t="n"/>
      <c r="G30" s="14" t="n"/>
      <c r="H30" s="14" t="n">
        <v>0.2133307610687761</v>
      </c>
    </row>
    <row r="31">
      <c r="A31" s="14" t="inlineStr">
        <is>
          <t>Huurovereenkomst - proces-verbaal van oplevering - sleuteloverdracht - Kennedyplein 101 - getekend.pdf</t>
        </is>
      </c>
      <c r="B31" s="14" t="n"/>
      <c r="C31" s="15" t="inlineStr">
        <is>
          <t>Fitted Out</t>
        </is>
      </c>
      <c r="D31" s="14" t="n"/>
      <c r="E31" s="14" t="n"/>
      <c r="F31" s="14" t="n"/>
      <c r="G31" s="14" t="n"/>
      <c r="H31" s="14" t="n">
        <v>0.9845590159644072</v>
      </c>
    </row>
    <row r="32">
      <c r="A32" s="14" t="inlineStr">
        <is>
          <t>Huurovereenkomst Bijster 5 te Breda getekend.pdf</t>
        </is>
      </c>
      <c r="B32" s="14" t="n"/>
      <c r="C32" s="15" t="inlineStr">
        <is>
          <t>Fitted Out</t>
        </is>
      </c>
      <c r="D32" s="14" t="n"/>
      <c r="E32" s="14" t="n"/>
      <c r="F32" s="14" t="n"/>
      <c r="G32" s="14" t="n"/>
      <c r="H32" s="14" t="n">
        <v>0.9795376029763487</v>
      </c>
    </row>
    <row r="33">
      <c r="A33" s="14" t="inlineStr">
        <is>
          <t>Huurovereenkomst Catena Pand Son - Skymark (Son en Breugel - NLD).pdf</t>
        </is>
      </c>
      <c r="B33" s="14" t="n"/>
      <c r="C33" s="15" t="inlineStr">
        <is>
          <t>Fitted Out</t>
        </is>
      </c>
      <c r="D33" s="14" t="n"/>
      <c r="E33" s="14" t="n"/>
      <c r="F33" s="14" t="n"/>
      <c r="G33" s="14" t="n"/>
      <c r="H33" s="14" t="n">
        <v>0.4529801324503309</v>
      </c>
    </row>
    <row r="34">
      <c r="A34" s="14" t="inlineStr">
        <is>
          <t>Huurovereenkomst KPN Opstelpunt Parallelweg 64 20130313.pdf</t>
        </is>
      </c>
      <c r="B34" s="14" t="n"/>
      <c r="C34" s="15" t="inlineStr">
        <is>
          <t>Core And Shell</t>
        </is>
      </c>
      <c r="D34" s="14" t="n"/>
      <c r="E34" s="14" t="n"/>
      <c r="F34" s="14" t="n"/>
      <c r="G34" s="14" t="n"/>
      <c r="H34" s="14" t="n">
        <v>0.4548262548262547</v>
      </c>
    </row>
    <row r="35">
      <c r="A35" s="14" t="inlineStr">
        <is>
          <t>Huurovereenkomst PBG Parallelweg 64 (beg.grond) 20121008.pdf</t>
        </is>
      </c>
      <c r="B35" s="14" t="n"/>
      <c r="C35" s="15" t="inlineStr">
        <is>
          <t>Fitted Out</t>
        </is>
      </c>
      <c r="D35" s="14" t="n"/>
      <c r="E35" s="14" t="n"/>
      <c r="F35" s="14" t="n"/>
      <c r="G35" s="14" t="n"/>
      <c r="H35" s="14" t="n">
        <v>0.9743589743589743</v>
      </c>
    </row>
    <row r="36">
      <c r="A36" s="14" t="inlineStr">
        <is>
          <t>MWO CBRE SPA (ITALY) CBRE_090724.pdf</t>
        </is>
      </c>
      <c r="B36" s="14" t="n"/>
      <c r="C36" s="15" t="inlineStr">
        <is>
          <t>Core And Shell</t>
        </is>
      </c>
      <c r="D36" s="14" t="n"/>
      <c r="E36" s="14" t="n"/>
      <c r="F36" s="14" t="n"/>
      <c r="G36" s="14" t="n"/>
      <c r="H36" s="14" t="n">
        <v>0.9501160092807424</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N</t>
        </is>
      </c>
      <c r="D2" s="14" t="n"/>
      <c r="E2" s="14" t="n"/>
      <c r="F2" s="14" t="n"/>
      <c r="G2" s="14" t="n"/>
      <c r="H2" s="14" t="n">
        <v>0.9743589743589743</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N</t>
        </is>
      </c>
      <c r="D3" s="14" t="n"/>
      <c r="E3" s="14" t="n"/>
      <c r="F3" s="14" t="n"/>
      <c r="G3" s="14" t="n"/>
      <c r="H3" s="14" t="n">
        <v>0.9845590159644072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N</t>
        </is>
      </c>
      <c r="D4" s="14" t="n"/>
      <c r="E4" s="14" t="n"/>
      <c r="F4" s="14" t="n"/>
      <c r="G4" s="14" t="n"/>
      <c r="H4" s="14" t="n">
        <v>0.9845590159644072</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N</t>
        </is>
      </c>
      <c r="D5" s="14" t="n"/>
      <c r="E5" s="14" t="n"/>
      <c r="F5" s="14" t="n"/>
      <c r="G5" s="14" t="n"/>
      <c r="H5" s="14" t="n">
        <v>0.9743589743589743</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N</t>
        </is>
      </c>
      <c r="D6" s="14" t="n"/>
      <c r="E6" s="14" t="n"/>
      <c r="F6" s="14" t="n"/>
      <c r="G6" s="14" t="n"/>
      <c r="H6" s="14" t="n">
        <v>0.9820675105485231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N</t>
        </is>
      </c>
      <c r="D7" s="14" t="n"/>
      <c r="E7" s="14" t="n"/>
      <c r="F7" s="14" t="n"/>
      <c r="G7" s="14" t="n"/>
      <c r="H7" s="14" t="n">
        <v>0.9845590159644072</v>
      </c>
      <c r="K7" s="17" t="inlineStr">
        <is>
          <t>Total Docs Tested</t>
        </is>
      </c>
      <c r="L7" s="19">
        <f>COUNTA(A2:A36)</f>
        <v/>
      </c>
      <c r="N7" s="17" t="inlineStr">
        <is>
          <t>Total Docs Tested</t>
        </is>
      </c>
      <c r="O7" s="19">
        <f>COUNTA(A2:A36)</f>
        <v/>
      </c>
    </row>
    <row r="8">
      <c r="A8" s="14" t="inlineStr">
        <is>
          <t>20260629 HOK ADHDcentraal BV (1).pdf</t>
        </is>
      </c>
      <c r="B8" s="14" t="n"/>
      <c r="C8" s="15" t="inlineStr">
        <is>
          <t>N</t>
        </is>
      </c>
      <c r="D8" s="14" t="n"/>
      <c r="E8" s="14" t="n"/>
      <c r="F8" s="14" t="n"/>
      <c r="G8" s="14" t="n"/>
      <c r="H8" s="14" t="n">
        <v>0.9820675105485231</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N</t>
        </is>
      </c>
      <c r="D9" s="14" t="n"/>
      <c r="E9" s="14" t="n"/>
      <c r="F9" s="14" t="n"/>
      <c r="G9" s="14" t="n"/>
      <c r="H9" s="14" t="n">
        <v>0.9845590159644072</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N</t>
        </is>
      </c>
      <c r="D10" s="14" t="n"/>
      <c r="E10" s="14" t="n"/>
      <c r="F10" s="14" t="n"/>
      <c r="G10" s="14" t="n"/>
      <c r="H10" s="14" t="n">
        <v>0.9820675105485231</v>
      </c>
      <c r="K10" s="20" t="inlineStr">
        <is>
          <t>Highlighted rows = file(s) not in the annotation sheet; excluded from all metrics above.</t>
        </is>
      </c>
    </row>
    <row r="11">
      <c r="A11" s="14" t="inlineStr">
        <is>
          <t>20270801 - Getekende Allonge II Advario BV.pdf</t>
        </is>
      </c>
      <c r="B11" s="14" t="n"/>
      <c r="C11" s="15" t="inlineStr">
        <is>
          <t>N</t>
        </is>
      </c>
      <c r="D11" s="14" t="n"/>
      <c r="E11" s="14" t="n"/>
      <c r="F11" s="14" t="n"/>
      <c r="G11" s="14" t="n"/>
      <c r="H11" s="14" t="n">
        <v>0.9795376029763487</v>
      </c>
      <c r="K11" s="17" t="inlineStr">
        <is>
          <t>Validation Rules Example</t>
        </is>
      </c>
    </row>
    <row r="12">
      <c r="A12" s="14" t="inlineStr">
        <is>
          <t>240119 HOVK Spoorlaan 446-448 Tilburg signed.pdf</t>
        </is>
      </c>
      <c r="B12" s="14" t="n"/>
      <c r="C12" s="15" t="inlineStr">
        <is>
          <t>N</t>
        </is>
      </c>
      <c r="D12" s="14" t="n"/>
      <c r="E12" s="14" t="n"/>
      <c r="F12" s="14" t="n"/>
      <c r="G12" s="14" t="n"/>
      <c r="H12" s="14" t="n">
        <v>0.9845590159644072</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N</t>
        </is>
      </c>
      <c r="D13" s="14" t="n"/>
      <c r="E13" s="14" t="n"/>
      <c r="F13" s="14" t="n"/>
      <c r="G13" s="14" t="n"/>
      <c r="H13" s="14" t="n">
        <v>0.9845590159644072</v>
      </c>
      <c r="K13" t="n">
        <v>100</v>
      </c>
      <c r="L13" t="n">
        <v>100</v>
      </c>
      <c r="M13" t="inlineStr">
        <is>
          <t>TP</t>
        </is>
      </c>
    </row>
    <row r="14">
      <c r="A14" s="14" t="inlineStr">
        <is>
          <t>CBRE_AT_Services_ENG_-_RITUALS_CBRE signed.pdf</t>
        </is>
      </c>
      <c r="B14" s="14" t="n"/>
      <c r="C14" s="15" t="inlineStr">
        <is>
          <t>N</t>
        </is>
      </c>
      <c r="D14" s="14" t="n"/>
      <c r="E14" s="14" t="n"/>
      <c r="F14" s="14" t="n"/>
      <c r="G14" s="14" t="n"/>
      <c r="H14" s="14" t="n">
        <v>0.9820675105485231</v>
      </c>
      <c r="L14" t="n">
        <v>100</v>
      </c>
      <c r="M14" t="inlineStr">
        <is>
          <t>FP</t>
        </is>
      </c>
    </row>
    <row r="15">
      <c r="A15" s="14" t="inlineStr">
        <is>
          <t>CBRE_Engagement_Letter_Alnylam_20260525_CLEAN_Version_signed all.pdf</t>
        </is>
      </c>
      <c r="B15" s="14" t="n"/>
      <c r="C15" s="15" t="inlineStr">
        <is>
          <t>N</t>
        </is>
      </c>
      <c r="D15" s="14" t="n"/>
      <c r="E15" s="14" t="n"/>
      <c r="F15" s="14" t="n"/>
      <c r="G15" s="14" t="n"/>
      <c r="H15" s="14" t="n">
        <v>0.9820675105485231</v>
      </c>
      <c r="K15" t="n">
        <v>100</v>
      </c>
      <c r="L15" t="n">
        <v>200</v>
      </c>
      <c r="M15" t="inlineStr">
        <is>
          <t>FP</t>
        </is>
      </c>
    </row>
    <row r="16">
      <c r="A16" s="14" t="inlineStr">
        <is>
          <t>COMPL DEF Huurovereenkomst - Skybox - Pepperl+Fuchs - 20260204.pdf</t>
        </is>
      </c>
      <c r="B16" s="14" t="n"/>
      <c r="C16" s="15" t="inlineStr">
        <is>
          <t>N</t>
        </is>
      </c>
      <c r="D16" s="14" t="n"/>
      <c r="E16" s="14" t="n"/>
      <c r="F16" s="14" t="n"/>
      <c r="G16" s="14" t="n"/>
      <c r="H16" s="14" t="n">
        <v>0.9845590159644072</v>
      </c>
      <c r="K16" t="n">
        <v>100</v>
      </c>
      <c r="M16" t="inlineStr">
        <is>
          <t>FN</t>
        </is>
      </c>
    </row>
    <row r="17">
      <c r="A17" s="14" t="inlineStr">
        <is>
          <t>COMPL Huurovereenkomst - Stichting CCE - Kantoorgebouw Metzpoint I Dr. Holtroplaan - Fully Signed.pdf</t>
        </is>
      </c>
      <c r="B17" s="14" t="n"/>
      <c r="C17" s="15" t="inlineStr">
        <is>
          <t>N</t>
        </is>
      </c>
      <c r="D17" s="14" t="n"/>
      <c r="E17" s="14" t="n"/>
      <c r="F17" s="14" t="n"/>
      <c r="G17" s="14" t="n"/>
      <c r="H17" s="14" t="n">
        <v>0.9820675105485231</v>
      </c>
      <c r="M17" t="inlineStr">
        <is>
          <t>TN</t>
        </is>
      </c>
    </row>
    <row r="18">
      <c r="A18" s="14" t="inlineStr">
        <is>
          <t>COMPL Regel Partners - HOVK - Luchthavenweg 81 - 20260728.pdf</t>
        </is>
      </c>
      <c r="B18" s="14" t="n"/>
      <c r="C18" s="15" t="inlineStr">
        <is>
          <t>N</t>
        </is>
      </c>
      <c r="D18" s="14" t="n"/>
      <c r="E18" s="14" t="n"/>
      <c r="F18" s="14" t="n"/>
      <c r="G18" s="14" t="n"/>
      <c r="H18" s="14" t="n">
        <v>0.9820675105485231</v>
      </c>
    </row>
    <row r="19">
      <c r="A19" s="14" t="inlineStr">
        <is>
          <t>COMPL_-_Onderhuurovereenkomst_Zelfstroom_B.V._-_50five_B.V._-_kantoorgebouw_Riva_-_05032026.pdf</t>
        </is>
      </c>
      <c r="B19" s="14" t="n"/>
      <c r="C19" s="15" t="inlineStr">
        <is>
          <t>Y</t>
        </is>
      </c>
      <c r="D19" s="14" t="n"/>
      <c r="E19" s="14" t="n"/>
      <c r="F19" s="14" t="n"/>
      <c r="G19" s="14" t="n"/>
      <c r="H19" s="14" t="n">
        <v>0.9743589743589743</v>
      </c>
      <c r="K19" s="17" t="inlineStr">
        <is>
          <t>Field:</t>
        </is>
      </c>
      <c r="L19" t="inlineStr">
        <is>
          <t>Lease_Comp_Details / sublease_f</t>
        </is>
      </c>
    </row>
    <row r="20">
      <c r="A20" s="14" t="inlineStr">
        <is>
          <t>Den Bosch, Ruwekampweg 4, HOVK getekend.pdf</t>
        </is>
      </c>
      <c r="B20" s="14" t="n"/>
      <c r="C20" s="15" t="inlineStr">
        <is>
          <t>N</t>
        </is>
      </c>
      <c r="D20" s="14" t="n"/>
      <c r="E20" s="14" t="n"/>
      <c r="F20" s="14" t="n"/>
      <c r="G20" s="14" t="n"/>
      <c r="H20" s="14" t="n">
        <v>0.9845590159644072</v>
      </c>
    </row>
    <row r="21">
      <c r="A21" s="14" t="inlineStr">
        <is>
          <t>FULLY SIGNED - COMPL Huurovereenkomst - Heijmans - Hugo de Grootlaan 23 's-Hertogenbosch V2 30-9-2025.pdf</t>
        </is>
      </c>
      <c r="B21" s="14" t="n"/>
      <c r="C21" s="15" t="inlineStr">
        <is>
          <t>Y</t>
        </is>
      </c>
      <c r="D21" s="14" t="n"/>
      <c r="E21" s="14" t="n"/>
      <c r="F21" s="14" t="n"/>
      <c r="G21" s="14" t="n"/>
      <c r="H21" s="14" t="n">
        <v>0.9743589743589743</v>
      </c>
    </row>
    <row r="22">
      <c r="A22" s="14" t="inlineStr">
        <is>
          <t>FULLY SIGNED - DEF_COMPL_Huurovereenkomst_Robo_Charge_-_Campus_Offices_-_20260220.pdf</t>
        </is>
      </c>
      <c r="B22" s="14" t="n"/>
      <c r="C22" s="15" t="inlineStr">
        <is>
          <t>N</t>
        </is>
      </c>
      <c r="D22" s="14" t="n"/>
      <c r="E22" s="14" t="n"/>
      <c r="F22" s="14" t="n"/>
      <c r="G22" s="14" t="n"/>
      <c r="H22" s="14" t="n">
        <v>0.9845590159644072</v>
      </c>
    </row>
    <row r="23">
      <c r="A23" s="14" t="inlineStr">
        <is>
          <t>FULLY SIGNED - Onderhuurovereenkomst Aartshertogenlaan 223, `s-Hertogenbosch - Koning Willem I College B.V. 2606202.pdf</t>
        </is>
      </c>
      <c r="B23" s="14" t="n"/>
      <c r="C23" s="15" t="inlineStr">
        <is>
          <t>Y</t>
        </is>
      </c>
      <c r="D23" s="14" t="n"/>
      <c r="E23" s="14" t="n"/>
      <c r="F23" s="14" t="n"/>
      <c r="G23" s="14" t="n"/>
      <c r="H23" s="14" t="n">
        <v>0.9743589743589743</v>
      </c>
    </row>
    <row r="24">
      <c r="A24" s="14" t="inlineStr">
        <is>
          <t>FULLY SIGNED COMPL_DEF_Huurovereenkomst_Bond_Bergschot_Breda.pdf</t>
        </is>
      </c>
      <c r="B24" s="14" t="n"/>
      <c r="C24" s="15" t="inlineStr">
        <is>
          <t>N</t>
        </is>
      </c>
      <c r="D24" s="14" t="n"/>
      <c r="E24" s="14" t="n"/>
      <c r="F24" s="14" t="n"/>
      <c r="G24" s="14" t="n"/>
      <c r="H24" s="14" t="n">
        <v>0.9845590159644072</v>
      </c>
    </row>
    <row r="25">
      <c r="A25" s="14" t="inlineStr">
        <is>
          <t>FullySigned_Allonge_II_Virtual_Vaults_Nederland.pdf</t>
        </is>
      </c>
      <c r="B25" s="14" t="n"/>
      <c r="C25" s="15" t="inlineStr">
        <is>
          <t>N</t>
        </is>
      </c>
      <c r="D25" s="14" t="n"/>
      <c r="E25" s="14" t="n"/>
      <c r="F25" s="14" t="n"/>
      <c r="G25" s="14" t="n"/>
      <c r="H25" s="14" t="n">
        <v>0.9820675105485231</v>
      </c>
    </row>
    <row r="26">
      <c r="A26" s="14" t="inlineStr">
        <is>
          <t>FullySigned_Lease_Agreement_Neste_EDGE_Coolsingel.pdf</t>
        </is>
      </c>
      <c r="B26" s="14" t="n"/>
      <c r="C26" s="15" t="inlineStr">
        <is>
          <t>N</t>
        </is>
      </c>
      <c r="D26" s="14" t="n"/>
      <c r="E26" s="14" t="n"/>
      <c r="F26" s="14" t="n"/>
      <c r="G26" s="14" t="n"/>
      <c r="H26" s="14" t="n">
        <v>0.9845590159644072</v>
      </c>
    </row>
    <row r="27">
      <c r="A27" s="14" t="inlineStr">
        <is>
          <t>HOK Waalhaven Group (signed).pdf</t>
        </is>
      </c>
      <c r="B27" s="14" t="n"/>
      <c r="C27" s="15" t="inlineStr">
        <is>
          <t>N</t>
        </is>
      </c>
      <c r="D27" s="14" t="n"/>
      <c r="E27" s="14" t="n"/>
      <c r="F27" s="14" t="n"/>
      <c r="G27" s="14" t="n"/>
      <c r="H27" s="14" t="n">
        <v>0.9820675105485231</v>
      </c>
    </row>
    <row r="28">
      <c r="A28" s="14" t="inlineStr">
        <is>
          <t>Hovk Avans  (3e+4e+5e verd.) 20140425.pdf</t>
        </is>
      </c>
      <c r="B28" s="14" t="n"/>
      <c r="C28" s="15" t="inlineStr">
        <is>
          <t>N</t>
        </is>
      </c>
      <c r="D28" s="14" t="n"/>
      <c r="E28" s="14" t="n"/>
      <c r="F28" s="14" t="n"/>
      <c r="G28" s="14" t="n"/>
      <c r="H28" s="14" t="n">
        <v>0.9845590159644072</v>
      </c>
    </row>
    <row r="29">
      <c r="A29" s="14" t="inlineStr">
        <is>
          <t>HOVK Power4People 2025.pdf</t>
        </is>
      </c>
      <c r="B29" s="14" t="n"/>
      <c r="C29" s="15" t="inlineStr">
        <is>
          <t>N</t>
        </is>
      </c>
      <c r="D29" s="14" t="n"/>
      <c r="E29" s="14" t="n"/>
      <c r="F29" s="14" t="n"/>
      <c r="G29" s="14" t="n"/>
      <c r="H29" s="14" t="n">
        <v>0.9820675105485231</v>
      </c>
    </row>
    <row r="30">
      <c r="A30" s="14" t="inlineStr">
        <is>
          <t>Huurovereenkomst (Semmie Group B.V.) - Wilhelminasingel 19, Breda.pdf</t>
        </is>
      </c>
      <c r="B30" s="14" t="n"/>
      <c r="C30" s="15" t="inlineStr">
        <is>
          <t>N</t>
        </is>
      </c>
      <c r="D30" s="14" t="n"/>
      <c r="E30" s="14" t="n"/>
      <c r="F30" s="14" t="n"/>
      <c r="G30" s="14" t="n"/>
      <c r="H30" s="14" t="n">
        <v>0.9845590159644072</v>
      </c>
    </row>
    <row r="31">
      <c r="A31" s="14" t="inlineStr">
        <is>
          <t>Huurovereenkomst - proces-verbaal van oplevering - sleuteloverdracht - Kennedyplein 101 - getekend.pdf</t>
        </is>
      </c>
      <c r="B31" s="14" t="n"/>
      <c r="C31" s="15" t="inlineStr">
        <is>
          <t>N</t>
        </is>
      </c>
      <c r="D31" s="14" t="n"/>
      <c r="E31" s="14" t="n"/>
      <c r="F31" s="14" t="n"/>
      <c r="G31" s="14" t="n"/>
      <c r="H31" s="14" t="n">
        <v>0.9820675105485231</v>
      </c>
    </row>
    <row r="32">
      <c r="A32" s="14" t="inlineStr">
        <is>
          <t>Huurovereenkomst Bijster 5 te Breda getekend.pdf</t>
        </is>
      </c>
      <c r="B32" s="14" t="n"/>
      <c r="C32" s="15" t="inlineStr">
        <is>
          <t>N</t>
        </is>
      </c>
      <c r="D32" s="14" t="n"/>
      <c r="E32" s="14" t="n"/>
      <c r="F32" s="14" t="n"/>
      <c r="G32" s="14" t="n"/>
      <c r="H32" s="14" t="n">
        <v>0.9743589743589743</v>
      </c>
    </row>
    <row r="33">
      <c r="A33" s="14" t="inlineStr">
        <is>
          <t>Huurovereenkomst Catena Pand Son - Skymark (Son en Breugel - NLD).pdf</t>
        </is>
      </c>
      <c r="B33" s="14" t="n"/>
      <c r="C33" s="15" t="inlineStr">
        <is>
          <t>N</t>
        </is>
      </c>
      <c r="D33" s="14" t="n"/>
      <c r="E33" s="14" t="n"/>
      <c r="F33" s="14" t="n"/>
      <c r="G33" s="14" t="n"/>
      <c r="H33" s="14" t="n">
        <v>0.9845590159644072</v>
      </c>
    </row>
    <row r="34">
      <c r="A34" s="14" t="inlineStr">
        <is>
          <t>Huurovereenkomst KPN Opstelpunt Parallelweg 64 20130313.pdf</t>
        </is>
      </c>
      <c r="B34" s="14" t="n"/>
      <c r="C34" s="15" t="inlineStr">
        <is>
          <t>N</t>
        </is>
      </c>
      <c r="D34" s="14" t="n"/>
      <c r="E34" s="14" t="n"/>
      <c r="F34" s="14" t="n"/>
      <c r="G34" s="14" t="n"/>
      <c r="H34" s="14" t="n">
        <v>0.9845590159644072</v>
      </c>
    </row>
    <row r="35">
      <c r="A35" s="14" t="inlineStr">
        <is>
          <t>Huurovereenkomst PBG Parallelweg 64 (beg.grond) 20121008.pdf</t>
        </is>
      </c>
      <c r="B35" s="14" t="n"/>
      <c r="C35" s="15" t="inlineStr">
        <is>
          <t>N</t>
        </is>
      </c>
      <c r="D35" s="14" t="n"/>
      <c r="E35" s="14" t="n"/>
      <c r="F35" s="14" t="n"/>
      <c r="G35" s="14" t="n"/>
      <c r="H35" s="14" t="n">
        <v>0.9845590159644072</v>
      </c>
    </row>
    <row r="36">
      <c r="A36" s="14" t="inlineStr">
        <is>
          <t>MWO CBRE SPA (ITALY) CBRE_090724.pdf</t>
        </is>
      </c>
      <c r="B36" s="14" t="n"/>
      <c r="C36" s="15" t="inlineStr">
        <is>
          <t>N</t>
        </is>
      </c>
      <c r="D36" s="14" t="n"/>
      <c r="E36" s="14" t="n"/>
      <c r="F36" s="14" t="n"/>
      <c r="G36" s="14" t="n"/>
      <c r="H36" s="14" t="n">
        <v>0.9845590159644072</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Occupying</t>
        </is>
      </c>
      <c r="D2" s="14" t="n"/>
      <c r="E2" s="14" t="n"/>
      <c r="F2" s="14" t="n"/>
      <c r="G2" s="14" t="n"/>
      <c r="H2" s="14" t="n">
        <v>0.9845590159644072</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Occupying</t>
        </is>
      </c>
      <c r="D3" s="14" t="n"/>
      <c r="E3" s="14" t="n"/>
      <c r="F3" s="14" t="n"/>
      <c r="G3" s="14" t="n"/>
      <c r="H3" s="14" t="n">
        <v>0.289279898679211</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Future</t>
        </is>
      </c>
      <c r="D4" s="14" t="n"/>
      <c r="E4" s="14" t="n"/>
      <c r="F4" s="14" t="n"/>
      <c r="G4" s="14" t="n"/>
      <c r="H4" s="14" t="n">
        <v>0.9743589743589743</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Future</t>
        </is>
      </c>
      <c r="D5" s="14" t="n"/>
      <c r="E5" s="14" t="n"/>
      <c r="F5" s="14" t="n"/>
      <c r="G5" s="14" t="n"/>
      <c r="H5" s="14" t="n">
        <v>0.9820675105485231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Occupying</t>
        </is>
      </c>
      <c r="D6" s="14" t="n"/>
      <c r="E6" s="14" t="n"/>
      <c r="F6" s="14" t="n"/>
      <c r="G6" s="14" t="n"/>
      <c r="H6" s="14" t="n">
        <v>0.9820675105485231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Occupying</t>
        </is>
      </c>
      <c r="D7" s="14" t="n"/>
      <c r="E7" s="14" t="n"/>
      <c r="F7" s="14" t="n"/>
      <c r="G7" s="14" t="n"/>
      <c r="H7" s="14" t="n">
        <v>0.9820675105485231</v>
      </c>
      <c r="K7" s="17" t="inlineStr">
        <is>
          <t>Total Docs Tested</t>
        </is>
      </c>
      <c r="L7" s="19">
        <f>COUNTA(A2:A36)</f>
        <v/>
      </c>
      <c r="N7" s="17" t="inlineStr">
        <is>
          <t>Total Docs Tested</t>
        </is>
      </c>
      <c r="O7" s="19">
        <f>COUNTA(A2:A36)</f>
        <v/>
      </c>
    </row>
    <row r="8">
      <c r="A8" s="14" t="inlineStr">
        <is>
          <t>20260629 HOK ADHDcentraal BV (1).pdf</t>
        </is>
      </c>
      <c r="B8" s="14" t="n"/>
      <c r="C8" s="15" t="inlineStr">
        <is>
          <t>Occupying</t>
        </is>
      </c>
      <c r="D8" s="14" t="n"/>
      <c r="E8" s="14" t="n"/>
      <c r="F8" s="14" t="n"/>
      <c r="G8" s="14" t="n"/>
      <c r="H8" s="14" t="n">
        <v>0.9845590159644072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Future</t>
        </is>
      </c>
      <c r="D9" s="14" t="n"/>
      <c r="E9" s="14" t="n"/>
      <c r="F9" s="14" t="n"/>
      <c r="G9" s="14" t="n"/>
      <c r="H9" s="14" t="n">
        <v>0.9820675105485231</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Occupying</t>
        </is>
      </c>
      <c r="D10" s="14" t="n"/>
      <c r="E10" s="14" t="n"/>
      <c r="F10" s="14" t="n"/>
      <c r="G10" s="14" t="n"/>
      <c r="H10" s="14" t="n">
        <v>0.2890644262819048</v>
      </c>
      <c r="K10" s="20" t="inlineStr">
        <is>
          <t>Highlighted rows = file(s) not in the annotation sheet; excluded from all metrics above.</t>
        </is>
      </c>
    </row>
    <row r="11">
      <c r="A11" s="14" t="inlineStr">
        <is>
          <t>20270801 - Getekende Allonge II Advario BV.pdf</t>
        </is>
      </c>
      <c r="B11" s="14" t="n"/>
      <c r="C11" s="15" t="inlineStr">
        <is>
          <t>Occupying</t>
        </is>
      </c>
      <c r="D11" s="14" t="n"/>
      <c r="E11" s="14" t="n"/>
      <c r="F11" s="14" t="n"/>
      <c r="G11" s="14" t="n"/>
      <c r="H11" s="14" t="n">
        <v>0.9845590159644072</v>
      </c>
      <c r="K11" s="17" t="inlineStr">
        <is>
          <t>Validation Rules Example</t>
        </is>
      </c>
    </row>
    <row r="12">
      <c r="A12" s="14" t="inlineStr">
        <is>
          <t>240119 HOVK Spoorlaan 446-448 Tilburg signed.pdf</t>
        </is>
      </c>
      <c r="B12" s="14" t="n"/>
      <c r="C12" s="15" t="inlineStr">
        <is>
          <t>Occupying</t>
        </is>
      </c>
      <c r="D12" s="14" t="n"/>
      <c r="E12" s="14" t="n"/>
      <c r="F12" s="14" t="n"/>
      <c r="G12" s="14" t="n"/>
      <c r="H12" s="14" t="n">
        <v>0.9845590159644072</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Occupying</t>
        </is>
      </c>
      <c r="D13" s="14" t="n"/>
      <c r="E13" s="14" t="n"/>
      <c r="F13" s="14" t="n"/>
      <c r="G13" s="14" t="n"/>
      <c r="H13" s="14" t="n">
        <v>0.9845590159644072</v>
      </c>
      <c r="K13" t="n">
        <v>100</v>
      </c>
      <c r="L13" t="n">
        <v>100</v>
      </c>
      <c r="M13" t="inlineStr">
        <is>
          <t>TP</t>
        </is>
      </c>
    </row>
    <row r="14">
      <c r="A14" s="14" t="inlineStr">
        <is>
          <t>CBRE_AT_Services_ENG_-_RITUALS_CBRE signed.pdf</t>
        </is>
      </c>
      <c r="B14" s="14" t="n"/>
      <c r="C14" s="15" t="inlineStr">
        <is>
          <t>Occupying</t>
        </is>
      </c>
      <c r="D14" s="14" t="n"/>
      <c r="E14" s="14" t="n"/>
      <c r="F14" s="14" t="n">
        <v>19</v>
      </c>
      <c r="G14" s="14" t="n"/>
      <c r="H14" s="14" t="n">
        <v>0.2426666666666668</v>
      </c>
      <c r="L14" t="n">
        <v>100</v>
      </c>
      <c r="M14" t="inlineStr">
        <is>
          <t>FP</t>
        </is>
      </c>
    </row>
    <row r="15">
      <c r="A15" s="14" t="inlineStr">
        <is>
          <t>CBRE_Engagement_Letter_Alnylam_20260525_CLEAN_Version_signed all.pdf</t>
        </is>
      </c>
      <c r="B15" s="14" t="n"/>
      <c r="C15" s="15" t="inlineStr">
        <is>
          <t>Occupying</t>
        </is>
      </c>
      <c r="D15" s="14" t="n"/>
      <c r="E15" s="14" t="n"/>
      <c r="F15" s="14" t="n"/>
      <c r="G15" s="14" t="n"/>
      <c r="H15" s="14" t="n">
        <v>0.2424870466321245</v>
      </c>
      <c r="K15" t="n">
        <v>100</v>
      </c>
      <c r="L15" t="n">
        <v>200</v>
      </c>
      <c r="M15" t="inlineStr">
        <is>
          <t>FP</t>
        </is>
      </c>
    </row>
    <row r="16">
      <c r="A16" s="14" t="inlineStr">
        <is>
          <t>COMPL DEF Huurovereenkomst - Skybox - Pepperl+Fuchs - 20260204.pdf</t>
        </is>
      </c>
      <c r="B16" s="14" t="n"/>
      <c r="C16" s="15" t="inlineStr">
        <is>
          <t>Future</t>
        </is>
      </c>
      <c r="D16" s="14" t="n"/>
      <c r="E16" s="14" t="n"/>
      <c r="F16" s="14" t="n"/>
      <c r="G16" s="14" t="n"/>
      <c r="H16" s="14" t="n">
        <v>0.289279898679211</v>
      </c>
      <c r="K16" t="n">
        <v>100</v>
      </c>
      <c r="M16" t="inlineStr">
        <is>
          <t>FN</t>
        </is>
      </c>
    </row>
    <row r="17">
      <c r="A17" s="14" t="inlineStr">
        <is>
          <t>COMPL Huurovereenkomst - Stichting CCE - Kantoorgebouw Metzpoint I Dr. Holtroplaan - Fully Signed.pdf</t>
        </is>
      </c>
      <c r="B17" s="14" t="n"/>
      <c r="C17" s="15" t="inlineStr">
        <is>
          <t>Future</t>
        </is>
      </c>
      <c r="D17" s="14" t="n"/>
      <c r="E17" s="14" t="n"/>
      <c r="F17" s="14" t="n"/>
      <c r="G17" s="14" t="n"/>
      <c r="H17" s="14" t="n">
        <v>0.9743589743589743</v>
      </c>
      <c r="M17" t="inlineStr">
        <is>
          <t>TN</t>
        </is>
      </c>
    </row>
    <row r="18">
      <c r="A18" s="14" t="inlineStr">
        <is>
          <t>COMPL Regel Partners - HOVK - Luchthavenweg 81 - 20260728.pdf</t>
        </is>
      </c>
      <c r="B18" s="14" t="n"/>
      <c r="C18" s="15" t="inlineStr">
        <is>
          <t>Occupying</t>
        </is>
      </c>
      <c r="D18" s="14" t="n"/>
      <c r="E18" s="14" t="n"/>
      <c r="F18" s="14" t="n"/>
      <c r="G18" s="14" t="n"/>
      <c r="H18" s="14" t="n">
        <v>0.9845590159644072</v>
      </c>
    </row>
    <row r="19">
      <c r="A19" s="14" t="inlineStr">
        <is>
          <t>COMPL_-_Onderhuurovereenkomst_Zelfstroom_B.V._-_50five_B.V._-_kantoorgebouw_Riva_-_05032026.pdf</t>
        </is>
      </c>
      <c r="B19" s="14" t="n"/>
      <c r="C19" s="15" t="inlineStr">
        <is>
          <t>Expired</t>
        </is>
      </c>
      <c r="D19" s="14" t="n"/>
      <c r="E19" s="14" t="n"/>
      <c r="F19" s="14" t="n"/>
      <c r="G19" s="14" t="n"/>
      <c r="H19" s="14" t="n">
        <v>0.4898437500000001</v>
      </c>
      <c r="K19" s="17" t="inlineStr">
        <is>
          <t>Field:</t>
        </is>
      </c>
      <c r="L19" t="inlineStr">
        <is>
          <t>Lease_Comp_Details / tenant_status_type_desc</t>
        </is>
      </c>
    </row>
    <row r="20">
      <c r="A20" s="14" t="inlineStr">
        <is>
          <t>Den Bosch, Ruwekampweg 4, HOVK getekend.pdf</t>
        </is>
      </c>
      <c r="B20" s="14" t="n"/>
      <c r="C20" s="15" t="inlineStr">
        <is>
          <t>Occupying</t>
        </is>
      </c>
      <c r="D20" s="14" t="n"/>
      <c r="E20" s="14" t="n"/>
      <c r="F20" s="14" t="n"/>
      <c r="G20" s="14" t="n"/>
      <c r="H20" s="14" t="n">
        <v>0.9820675105485231</v>
      </c>
    </row>
    <row r="21">
      <c r="A21" s="14" t="inlineStr">
        <is>
          <t>FULLY SIGNED - COMPL Huurovereenkomst - Heijmans - Hugo de Grootlaan 23 's-Hertogenbosch V2 30-9-2025.pdf</t>
        </is>
      </c>
      <c r="B21" s="14" t="n"/>
      <c r="C21" s="15" t="inlineStr">
        <is>
          <t>Future</t>
        </is>
      </c>
      <c r="D21" s="14" t="n"/>
      <c r="E21" s="14" t="n"/>
      <c r="F21" s="14" t="n"/>
      <c r="G21" s="14" t="n"/>
      <c r="H21" s="14" t="n">
        <v>0.289279898679211</v>
      </c>
    </row>
    <row r="22">
      <c r="A22" s="14" t="inlineStr">
        <is>
          <t>FULLY SIGNED - DEF_COMPL_Huurovereenkomst_Robo_Charge_-_Campus_Offices_-_20260220.pdf</t>
        </is>
      </c>
      <c r="B22" s="14" t="n"/>
      <c r="C22" s="15" t="inlineStr">
        <is>
          <t>Future</t>
        </is>
      </c>
      <c r="D22" s="14" t="n"/>
      <c r="E22" s="14" t="n"/>
      <c r="F22" s="14" t="n"/>
      <c r="G22" s="14" t="n"/>
      <c r="H22" s="14" t="n">
        <v>0.9845590159644072</v>
      </c>
    </row>
    <row r="23">
      <c r="A23" s="14" t="inlineStr">
        <is>
          <t>FULLY SIGNED - Onderhuurovereenkomst Aartshertogenlaan 223, `s-Hertogenbosch - Koning Willem I College B.V. 2606202.pdf</t>
        </is>
      </c>
      <c r="B23" s="14" t="n"/>
      <c r="C23" s="15" t="inlineStr">
        <is>
          <t>Occupying</t>
        </is>
      </c>
      <c r="D23" s="14" t="n"/>
      <c r="E23" s="14" t="n"/>
      <c r="F23" s="14" t="n"/>
      <c r="G23" s="14" t="n"/>
      <c r="H23" s="14" t="n">
        <v>0.9820675105485231</v>
      </c>
    </row>
    <row r="24">
      <c r="A24" s="14" t="inlineStr">
        <is>
          <t>FULLY SIGNED COMPL_DEF_Huurovereenkomst_Bond_Bergschot_Breda.pdf</t>
        </is>
      </c>
      <c r="B24" s="14" t="n"/>
      <c r="C24" s="15" t="inlineStr">
        <is>
          <t>Occupying</t>
        </is>
      </c>
      <c r="D24" s="14" t="n"/>
      <c r="E24" s="14" t="n"/>
      <c r="F24" s="14" t="n"/>
      <c r="G24" s="14" t="n"/>
      <c r="H24" s="14" t="n">
        <v>0.9845590159644072</v>
      </c>
    </row>
    <row r="25">
      <c r="A25" s="14" t="inlineStr">
        <is>
          <t>FullySigned_Allonge_II_Virtual_Vaults_Nederland.pdf</t>
        </is>
      </c>
      <c r="B25" s="14" t="n"/>
      <c r="C25" s="15" t="inlineStr">
        <is>
          <t>Occupying</t>
        </is>
      </c>
      <c r="D25" s="14" t="n"/>
      <c r="E25" s="14" t="n"/>
      <c r="F25" s="14" t="n"/>
      <c r="G25" s="14" t="n"/>
      <c r="H25" s="14" t="n">
        <v>0.9820675105485231</v>
      </c>
    </row>
    <row r="26">
      <c r="A26" s="14" t="inlineStr">
        <is>
          <t>FullySigned_Lease_Agreement_Neste_EDGE_Coolsingel.pdf</t>
        </is>
      </c>
      <c r="B26" s="14" t="n"/>
      <c r="C26" s="15" t="inlineStr">
        <is>
          <t>Future</t>
        </is>
      </c>
      <c r="D26" s="14" t="n"/>
      <c r="E26" s="14" t="n"/>
      <c r="F26" s="14" t="n"/>
      <c r="G26" s="14" t="n"/>
      <c r="H26" s="14" t="n">
        <v>0.9845590159644072</v>
      </c>
    </row>
    <row r="27">
      <c r="A27" s="14" t="inlineStr">
        <is>
          <t>HOK Waalhaven Group (signed).pdf</t>
        </is>
      </c>
      <c r="B27" s="14" t="n"/>
      <c r="C27" s="15" t="inlineStr">
        <is>
          <t>Future</t>
        </is>
      </c>
      <c r="D27" s="14" t="n"/>
      <c r="E27" s="14" t="n"/>
      <c r="F27" s="14" t="n"/>
      <c r="G27" s="14" t="n"/>
      <c r="H27" s="14" t="n">
        <v>0.9845590159644072</v>
      </c>
    </row>
    <row r="28">
      <c r="A28" s="14" t="inlineStr">
        <is>
          <t>Hovk Avans  (3e+4e+5e verd.) 20140425.pdf</t>
        </is>
      </c>
      <c r="B28" s="14" t="n"/>
      <c r="C28" s="15" t="inlineStr">
        <is>
          <t>Occupying</t>
        </is>
      </c>
      <c r="D28" s="14" t="n"/>
      <c r="E28" s="14" t="n"/>
      <c r="F28" s="14" t="n"/>
      <c r="G28" s="14" t="n"/>
      <c r="H28" s="14" t="n">
        <v>0.9845590159644072</v>
      </c>
    </row>
    <row r="29">
      <c r="A29" s="14" t="inlineStr">
        <is>
          <t>HOVK Power4People 2025.pdf</t>
        </is>
      </c>
      <c r="B29" s="14" t="n"/>
      <c r="C29" s="15" t="inlineStr">
        <is>
          <t>Future</t>
        </is>
      </c>
      <c r="D29" s="14" t="n"/>
      <c r="E29" s="14" t="n"/>
      <c r="F29" s="14" t="n"/>
      <c r="G29" s="14" t="n"/>
      <c r="H29" s="14" t="n">
        <v>0.9820675105485231</v>
      </c>
    </row>
    <row r="30">
      <c r="A30" s="14" t="inlineStr">
        <is>
          <t>Huurovereenkomst (Semmie Group B.V.) - Wilhelminasingel 19, Breda.pdf</t>
        </is>
      </c>
      <c r="B30" s="14" t="n"/>
      <c r="C30" s="15" t="inlineStr">
        <is>
          <t>Future</t>
        </is>
      </c>
      <c r="D30" s="14" t="n"/>
      <c r="E30" s="14" t="n"/>
      <c r="F30" s="14" t="n"/>
      <c r="G30" s="14" t="n"/>
      <c r="H30" s="14" t="n">
        <v>0.9845590159644072</v>
      </c>
    </row>
    <row r="31">
      <c r="A31" s="14" t="inlineStr">
        <is>
          <t>Huurovereenkomst - proces-verbaal van oplevering - sleuteloverdracht - Kennedyplein 101 - getekend.pdf</t>
        </is>
      </c>
      <c r="B31" s="14" t="n"/>
      <c r="C31" s="15" t="inlineStr">
        <is>
          <t>Future</t>
        </is>
      </c>
      <c r="D31" s="14" t="n"/>
      <c r="E31" s="14" t="n"/>
      <c r="F31" s="14" t="n"/>
      <c r="G31" s="14" t="n"/>
      <c r="H31" s="14" t="n">
        <v>0.9845590159644072</v>
      </c>
    </row>
    <row r="32">
      <c r="A32" s="14" t="inlineStr">
        <is>
          <t>Huurovereenkomst Bijster 5 te Breda getekend.pdf</t>
        </is>
      </c>
      <c r="B32" s="14" t="n"/>
      <c r="C32" s="15" t="inlineStr">
        <is>
          <t>Future</t>
        </is>
      </c>
      <c r="D32" s="14" t="n"/>
      <c r="E32" s="14" t="n"/>
      <c r="F32" s="14" t="n"/>
      <c r="G32" s="14" t="n"/>
      <c r="H32" s="14" t="n">
        <v>0.9845590159644072</v>
      </c>
    </row>
    <row r="33">
      <c r="A33" s="14" t="inlineStr">
        <is>
          <t>Huurovereenkomst Catena Pand Son - Skymark (Son en Breugel - NLD).pdf</t>
        </is>
      </c>
      <c r="B33" s="14" t="n"/>
      <c r="C33" s="15" t="inlineStr">
        <is>
          <t>Occupying</t>
        </is>
      </c>
      <c r="D33" s="14" t="n"/>
      <c r="E33" s="14" t="n"/>
      <c r="F33" s="14" t="n"/>
      <c r="G33" s="14" t="n"/>
      <c r="H33" s="14" t="n">
        <v>0.9820675105485231</v>
      </c>
    </row>
    <row r="34">
      <c r="A34" s="14" t="inlineStr">
        <is>
          <t>Huurovereenkomst KPN Opstelpunt Parallelweg 64 20130313.pdf</t>
        </is>
      </c>
      <c r="B34" s="14" t="n"/>
      <c r="C34" s="15" t="inlineStr">
        <is>
          <t>Occupying</t>
        </is>
      </c>
      <c r="D34" s="14" t="n"/>
      <c r="E34" s="14" t="n"/>
      <c r="F34" s="14" t="n"/>
      <c r="G34" s="14" t="n"/>
      <c r="H34" s="14" t="n">
        <v>0.2426666666666668</v>
      </c>
    </row>
    <row r="35">
      <c r="A35" s="14" t="inlineStr">
        <is>
          <t>Huurovereenkomst PBG Parallelweg 64 (beg.grond) 20121008.pdf</t>
        </is>
      </c>
      <c r="B35" s="14" t="n"/>
      <c r="C35" s="15" t="inlineStr">
        <is>
          <t>Expired</t>
        </is>
      </c>
      <c r="D35" s="14" t="n"/>
      <c r="E35" s="14" t="n"/>
      <c r="F35" s="14" t="n"/>
      <c r="G35" s="14" t="n"/>
      <c r="H35" s="14" t="n">
        <v>0.469795359329681</v>
      </c>
    </row>
    <row r="36">
      <c r="A36" s="14" t="inlineStr">
        <is>
          <t>MWO CBRE SPA (ITALY) CBRE_090724.pdf</t>
        </is>
      </c>
      <c r="B36" s="14" t="n"/>
      <c r="C36" s="15" t="inlineStr">
        <is>
          <t>Occupying</t>
        </is>
      </c>
      <c r="D36" s="14" t="n"/>
      <c r="E36" s="14" t="n"/>
      <c r="F36" s="14" t="n"/>
      <c r="G36" s="14" t="n"/>
      <c r="H36" s="14" t="n">
        <v>0.2426666666666668</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10</t>
        </is>
      </c>
      <c r="D2" s="14" t="n"/>
      <c r="E2" s="14" t="n"/>
      <c r="F2" s="14" t="n"/>
      <c r="G2" s="14" t="n"/>
      <c r="H2" s="14" t="n">
        <v>0.9820675105485231</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558</t>
        </is>
      </c>
      <c r="D3" s="14" t="n"/>
      <c r="E3" s="14" t="n"/>
      <c r="F3" s="14" t="n"/>
      <c r="G3" s="14" t="n"/>
      <c r="H3" s="14" t="n">
        <v>0.9845590159644072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2590</t>
        </is>
      </c>
      <c r="D4" s="14" t="n"/>
      <c r="E4" s="14" t="n"/>
      <c r="F4" s="14" t="n"/>
      <c r="G4" s="14" t="n"/>
      <c r="H4" s="14" t="n">
        <v>0.7166132135984604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31.5</t>
        </is>
      </c>
      <c r="D5" s="14" t="n"/>
      <c r="E5" s="14" t="n"/>
      <c r="F5" s="14" t="n"/>
      <c r="G5" s="14" t="n"/>
      <c r="H5" s="14" t="n">
        <v>0.9820675105485231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3253</t>
        </is>
      </c>
      <c r="D6" s="14" t="n"/>
      <c r="E6" s="14" t="n"/>
      <c r="F6" s="14" t="n"/>
      <c r="G6" s="14" t="n"/>
      <c r="H6" s="14" t="n">
        <v>0.9820675105485231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139</t>
        </is>
      </c>
      <c r="D7" s="14" t="n"/>
      <c r="E7" s="14" t="n"/>
      <c r="F7" s="14" t="n"/>
      <c r="G7" s="14" t="n"/>
      <c r="H7" s="14" t="n">
        <v>0.9845590159644072</v>
      </c>
      <c r="K7" s="17" t="inlineStr">
        <is>
          <t>Total Docs Tested</t>
        </is>
      </c>
      <c r="L7" s="19">
        <f>COUNTA(A2:A36)</f>
        <v/>
      </c>
      <c r="N7" s="17" t="inlineStr">
        <is>
          <t>Total Docs Tested</t>
        </is>
      </c>
      <c r="O7" s="19">
        <f>COUNTA(A2:A36)</f>
        <v/>
      </c>
    </row>
    <row r="8">
      <c r="A8" s="14" t="inlineStr">
        <is>
          <t>20260629 HOK ADHDcentraal BV (1).pdf</t>
        </is>
      </c>
      <c r="B8" s="14" t="n"/>
      <c r="C8" s="15" t="inlineStr">
        <is>
          <t>218.7</t>
        </is>
      </c>
      <c r="D8" s="14" t="n"/>
      <c r="E8" s="14" t="n"/>
      <c r="F8" s="14" t="n"/>
      <c r="G8" s="14" t="n"/>
      <c r="H8" s="14" t="n">
        <v>0.9820675105485231</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1579.8</t>
        </is>
      </c>
      <c r="D9" s="14" t="n"/>
      <c r="E9" s="14" t="n"/>
      <c r="F9" s="14" t="n"/>
      <c r="G9" s="14" t="n"/>
      <c r="H9" s="14" t="n">
        <v>0.9820675105485231</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154.4</t>
        </is>
      </c>
      <c r="D10" s="14" t="n"/>
      <c r="E10" s="14" t="n"/>
      <c r="F10" s="14" t="n"/>
      <c r="G10" s="14" t="n"/>
      <c r="H10" s="14" t="n">
        <v>0.9845590159644072</v>
      </c>
      <c r="K10" s="20" t="inlineStr">
        <is>
          <t>Highlighted rows = file(s) not in the annotation sheet; excluded from all metrics above.</t>
        </is>
      </c>
    </row>
    <row r="11">
      <c r="A11" s="14" t="inlineStr">
        <is>
          <t>20270801 - Getekende Allonge II Advario BV.pdf</t>
        </is>
      </c>
      <c r="B11" s="14" t="n"/>
      <c r="C11" s="15" t="inlineStr">
        <is>
          <t>1176.48</t>
        </is>
      </c>
      <c r="D11" s="14" t="n"/>
      <c r="E11" s="14" t="n"/>
      <c r="F11" s="14" t="n"/>
      <c r="G11" s="14" t="n"/>
      <c r="H11" s="14" t="n">
        <v>0.9027624309392265</v>
      </c>
      <c r="K11" s="17" t="inlineStr">
        <is>
          <t>Validation Rules Example</t>
        </is>
      </c>
    </row>
    <row r="12">
      <c r="A12" s="14" t="inlineStr">
        <is>
          <t>240119 HOVK Spoorlaan 446-448 Tilburg signed.pdf</t>
        </is>
      </c>
      <c r="B12" s="14" t="n"/>
      <c r="C12" s="15" t="inlineStr">
        <is>
          <t>2645</t>
        </is>
      </c>
      <c r="D12" s="14" t="n"/>
      <c r="E12" s="14" t="n"/>
      <c r="F12" s="14" t="n"/>
      <c r="G12" s="14" t="n"/>
      <c r="H12" s="14" t="n">
        <v>0.9820675105485231</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7867</t>
        </is>
      </c>
      <c r="D13" s="14" t="n"/>
      <c r="E13" s="14" t="n"/>
      <c r="F13" s="14" t="n"/>
      <c r="G13" s="14" t="n"/>
      <c r="H13" s="14" t="n">
        <v>0.9845590159644072</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inlineStr">
        <is>
          <t>800</t>
        </is>
      </c>
      <c r="D15" s="14" t="n"/>
      <c r="E15" s="14" t="n"/>
      <c r="F15" s="14" t="n"/>
      <c r="G15" s="14" t="n"/>
      <c r="H15" s="14" t="n">
        <v>0.9049723756906077</v>
      </c>
      <c r="K15" t="n">
        <v>100</v>
      </c>
      <c r="L15" t="n">
        <v>200</v>
      </c>
      <c r="M15" t="inlineStr">
        <is>
          <t>FP</t>
        </is>
      </c>
    </row>
    <row r="16">
      <c r="A16" s="14" t="inlineStr">
        <is>
          <t>COMPL DEF Huurovereenkomst - Skybox - Pepperl+Fuchs - 20260204.pdf</t>
        </is>
      </c>
      <c r="B16" s="14" t="n"/>
      <c r="C16" s="15" t="inlineStr">
        <is>
          <t>370</t>
        </is>
      </c>
      <c r="D16" s="14" t="n"/>
      <c r="E16" s="14" t="n"/>
      <c r="F16" s="14" t="n"/>
      <c r="G16" s="14" t="n"/>
      <c r="H16" s="14" t="n">
        <v>0.9820675105485231</v>
      </c>
      <c r="K16" t="n">
        <v>100</v>
      </c>
      <c r="M16" t="inlineStr">
        <is>
          <t>FN</t>
        </is>
      </c>
    </row>
    <row r="17">
      <c r="A17" s="14" t="inlineStr">
        <is>
          <t>COMPL Huurovereenkomst - Stichting CCE - Kantoorgebouw Metzpoint I Dr. Holtroplaan - Fully Signed.pdf</t>
        </is>
      </c>
      <c r="B17" s="14" t="n"/>
      <c r="C17" s="15" t="inlineStr">
        <is>
          <t>293.2</t>
        </is>
      </c>
      <c r="D17" s="14" t="n"/>
      <c r="E17" s="14" t="n"/>
      <c r="F17" s="14" t="n"/>
      <c r="G17" s="14" t="n"/>
      <c r="H17" s="14" t="n">
        <v>0.9845590159644072</v>
      </c>
      <c r="M17" t="inlineStr">
        <is>
          <t>TN</t>
        </is>
      </c>
    </row>
    <row r="18">
      <c r="A18" s="14" t="inlineStr">
        <is>
          <t>COMPL Regel Partners - HOVK - Luchthavenweg 81 - 20260728.pdf</t>
        </is>
      </c>
      <c r="B18" s="14" t="n"/>
      <c r="C18" s="15" t="inlineStr">
        <is>
          <t>419.10</t>
        </is>
      </c>
      <c r="D18" s="14" t="n"/>
      <c r="E18" s="14" t="n"/>
      <c r="F18" s="14" t="n"/>
      <c r="G18" s="14" t="n"/>
      <c r="H18" s="14" t="n">
        <v>0.9845590159644072</v>
      </c>
    </row>
    <row r="19">
      <c r="A19" s="14" t="inlineStr">
        <is>
          <t>COMPL_-_Onderhuurovereenkomst_Zelfstroom_B.V._-_50five_B.V._-_kantoorgebouw_Riva_-_05032026.pdf</t>
        </is>
      </c>
      <c r="B19" s="14" t="n"/>
      <c r="C19" s="15" t="inlineStr">
        <is>
          <t>1013.23</t>
        </is>
      </c>
      <c r="D19" s="14" t="n"/>
      <c r="E19" s="14" t="n"/>
      <c r="F19" s="14" t="n"/>
      <c r="G19" s="14" t="n"/>
      <c r="H19" s="14" t="n">
        <v>0.9845590159644072</v>
      </c>
      <c r="K19" s="17" t="inlineStr">
        <is>
          <t>Field:</t>
        </is>
      </c>
      <c r="L19" t="inlineStr">
        <is>
          <t>Lease_Comp_Details / total_leased_space</t>
        </is>
      </c>
    </row>
    <row r="20">
      <c r="A20" s="14" t="inlineStr">
        <is>
          <t>Den Bosch, Ruwekampweg 4, HOVK getekend.pdf</t>
        </is>
      </c>
      <c r="B20" s="14" t="n"/>
      <c r="C20" s="15" t="inlineStr">
        <is>
          <t>2230</t>
        </is>
      </c>
      <c r="D20" s="14" t="n"/>
      <c r="E20" s="14" t="n"/>
      <c r="F20" s="14" t="n"/>
      <c r="G20" s="14" t="n"/>
      <c r="H20" s="14" t="n">
        <v>0.9845590159644072</v>
      </c>
    </row>
    <row r="21">
      <c r="A21" s="14" t="inlineStr">
        <is>
          <t>FULLY SIGNED - COMPL Huurovereenkomst - Heijmans - Hugo de Grootlaan 23 's-Hertogenbosch V2 30-9-2025.pdf</t>
        </is>
      </c>
      <c r="B21" s="14" t="n"/>
      <c r="C21" s="15" t="inlineStr">
        <is>
          <t>400</t>
        </is>
      </c>
      <c r="D21" s="14" t="n"/>
      <c r="E21" s="14" t="n"/>
      <c r="F21" s="14" t="n"/>
      <c r="G21" s="14" t="n"/>
      <c r="H21" s="14" t="n">
        <v>0.9820675105485231</v>
      </c>
    </row>
    <row r="22">
      <c r="A22" s="14" t="inlineStr">
        <is>
          <t>FULLY SIGNED - DEF_COMPL_Huurovereenkomst_Robo_Charge_-_Campus_Offices_-_20260220.pdf</t>
        </is>
      </c>
      <c r="B22" s="14" t="n"/>
      <c r="C22" s="15" t="inlineStr">
        <is>
          <t>357.2</t>
        </is>
      </c>
      <c r="D22" s="14" t="n"/>
      <c r="E22" s="14" t="n"/>
      <c r="F22" s="14" t="n"/>
      <c r="G22" s="14" t="n"/>
      <c r="H22" s="14" t="n">
        <v>0.9743589743589743</v>
      </c>
    </row>
    <row r="23">
      <c r="A23" s="14" t="inlineStr">
        <is>
          <t>FULLY SIGNED - Onderhuurovereenkomst Aartshertogenlaan 223, `s-Hertogenbosch - Koning Willem I College B.V. 2606202.pdf</t>
        </is>
      </c>
      <c r="B23" s="14" t="n"/>
      <c r="C23" s="15" t="inlineStr">
        <is>
          <t>1227</t>
        </is>
      </c>
      <c r="D23" s="14" t="n"/>
      <c r="E23" s="14" t="n"/>
      <c r="F23" s="14" t="n"/>
      <c r="G23" s="14" t="n"/>
      <c r="H23" s="14" t="n">
        <v>0.9820675105485231</v>
      </c>
    </row>
    <row r="24">
      <c r="A24" s="14" t="inlineStr">
        <is>
          <t>FULLY SIGNED COMPL_DEF_Huurovereenkomst_Bond_Bergschot_Breda.pdf</t>
        </is>
      </c>
      <c r="B24" s="14" t="n"/>
      <c r="C24" s="15" t="inlineStr">
        <is>
          <t>1001.08</t>
        </is>
      </c>
      <c r="D24" s="14" t="n"/>
      <c r="E24" s="14" t="n"/>
      <c r="F24" s="14" t="n"/>
      <c r="G24" s="14" t="n"/>
      <c r="H24" s="14" t="n">
        <v>0.9845590159644072</v>
      </c>
    </row>
    <row r="25">
      <c r="A25" s="14" t="inlineStr">
        <is>
          <t>FullySigned_Allonge_II_Virtual_Vaults_Nederland.pdf</t>
        </is>
      </c>
      <c r="B25" s="14" t="n"/>
      <c r="C25" s="15" t="inlineStr">
        <is>
          <t>1130.98</t>
        </is>
      </c>
      <c r="D25" s="14" t="n"/>
      <c r="E25" s="14" t="n"/>
      <c r="F25" s="14" t="n"/>
      <c r="G25" s="14" t="n"/>
      <c r="H25" s="14" t="n">
        <v>0.9845590159644072</v>
      </c>
    </row>
    <row r="26">
      <c r="A26" s="14" t="inlineStr">
        <is>
          <t>FullySigned_Lease_Agreement_Neste_EDGE_Coolsingel.pdf</t>
        </is>
      </c>
      <c r="B26" s="14" t="n"/>
      <c r="C26" s="15" t="inlineStr">
        <is>
          <t>1335</t>
        </is>
      </c>
      <c r="D26" s="14" t="n"/>
      <c r="E26" s="14" t="n"/>
      <c r="F26" s="14" t="n"/>
      <c r="G26" s="14" t="n"/>
      <c r="H26" s="14" t="n">
        <v>0.9845590159644072</v>
      </c>
    </row>
    <row r="27">
      <c r="A27" s="14" t="inlineStr">
        <is>
          <t>HOK Waalhaven Group (signed).pdf</t>
        </is>
      </c>
      <c r="B27" s="14" t="n"/>
      <c r="C27" s="15" t="inlineStr">
        <is>
          <t>672</t>
        </is>
      </c>
      <c r="D27" s="14" t="n"/>
      <c r="E27" s="14" t="n"/>
      <c r="F27" s="14" t="n"/>
      <c r="G27" s="14" t="n"/>
      <c r="H27" s="14" t="n">
        <v>0.9845590159644072</v>
      </c>
    </row>
    <row r="28">
      <c r="A28" s="14" t="inlineStr">
        <is>
          <t>Hovk Avans  (3e+4e+5e verd.) 20140425.pdf</t>
        </is>
      </c>
      <c r="B28" s="14" t="n"/>
      <c r="C28" s="15" t="inlineStr">
        <is>
          <t>1612</t>
        </is>
      </c>
      <c r="D28" s="14" t="n"/>
      <c r="E28" s="14" t="n"/>
      <c r="F28" s="14" t="n"/>
      <c r="G28" s="14" t="n"/>
      <c r="H28" s="14" t="n">
        <v>0.9820675105485231</v>
      </c>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n"/>
      <c r="C30" s="15" t="inlineStr">
        <is>
          <t>61.4</t>
        </is>
      </c>
      <c r="D30" s="14" t="n"/>
      <c r="E30" s="14" t="n"/>
      <c r="F30" s="14" t="n"/>
      <c r="G30" s="14" t="n"/>
      <c r="H30" s="14" t="n">
        <v>0.9845590159644072</v>
      </c>
    </row>
    <row r="31">
      <c r="A31" s="14" t="inlineStr">
        <is>
          <t>Huurovereenkomst - proces-verbaal van oplevering - sleuteloverdracht - Kennedyplein 101 - getekend.pdf</t>
        </is>
      </c>
      <c r="B31" s="14" t="n"/>
      <c r="C31" s="15" t="inlineStr">
        <is>
          <t>360.81</t>
        </is>
      </c>
      <c r="D31" s="14" t="n"/>
      <c r="E31" s="14" t="n"/>
      <c r="F31" s="14" t="n"/>
      <c r="G31" s="14" t="n"/>
      <c r="H31" s="14" t="n">
        <v>0.9820675105485231</v>
      </c>
    </row>
    <row r="32">
      <c r="A32" s="14" t="inlineStr">
        <is>
          <t>Huurovereenkomst Bijster 5 te Breda getekend.pdf</t>
        </is>
      </c>
      <c r="B32" s="14" t="n"/>
      <c r="C32" s="15" t="inlineStr">
        <is>
          <t>435</t>
        </is>
      </c>
      <c r="D32" s="14" t="n"/>
      <c r="E32" s="14" t="n"/>
      <c r="F32" s="14" t="n"/>
      <c r="G32" s="14" t="n"/>
      <c r="H32" s="14" t="n">
        <v>0.9845590159644072</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808</t>
        </is>
      </c>
      <c r="D35" s="14" t="n"/>
      <c r="E35" s="14" t="n"/>
      <c r="F35" s="14" t="n"/>
      <c r="G35" s="14" t="n"/>
      <c r="H35" s="14" t="n">
        <v>0.9845590159644072</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Assumed</t>
        </is>
      </c>
      <c r="D2" s="14" t="n"/>
      <c r="E2" s="14" t="n"/>
      <c r="F2" s="14" t="n"/>
      <c r="G2" s="14" t="n"/>
      <c r="H2" s="14" t="n">
        <v>0.9743589743589743</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Actual</t>
        </is>
      </c>
      <c r="D3" s="14" t="n"/>
      <c r="E3" s="14" t="n"/>
      <c r="F3" s="14" t="n"/>
      <c r="G3" s="14" t="n"/>
      <c r="H3" s="14" t="n">
        <v>0.9690156292843433</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Assumed</t>
        </is>
      </c>
      <c r="D4" s="14" t="n"/>
      <c r="E4" s="14" t="n"/>
      <c r="F4" s="14" t="n"/>
      <c r="G4" s="14" t="n"/>
      <c r="H4" s="14" t="n">
        <v>0.9795376029763487</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Actual</t>
        </is>
      </c>
      <c r="D5" s="14" t="n"/>
      <c r="E5" s="14" t="n"/>
      <c r="F5" s="14" t="n"/>
      <c r="G5" s="14" t="n"/>
      <c r="H5" s="14" t="n">
        <v>0.9769683985002677</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Assumed</t>
        </is>
      </c>
      <c r="D6" s="14" t="n"/>
      <c r="E6" s="14" t="n"/>
      <c r="F6" s="14" t="n"/>
      <c r="G6" s="14" t="n"/>
      <c r="H6" s="14" t="n">
        <v>0.491784385129457</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Actual</t>
        </is>
      </c>
      <c r="D7" s="14" t="n"/>
      <c r="E7" s="14" t="n"/>
      <c r="F7" s="14" t="n"/>
      <c r="G7" s="14" t="n"/>
      <c r="H7" s="14" t="n">
        <v>0.9743589743589743</v>
      </c>
      <c r="K7" s="17" t="inlineStr">
        <is>
          <t>Total Docs Tested</t>
        </is>
      </c>
      <c r="L7" s="19">
        <f>COUNTA(A2:A36)</f>
        <v/>
      </c>
      <c r="N7" s="17" t="inlineStr">
        <is>
          <t>Total Docs Tested</t>
        </is>
      </c>
      <c r="O7" s="19">
        <f>COUNTA(A2:A36)</f>
        <v/>
      </c>
    </row>
    <row r="8">
      <c r="A8" s="14" t="inlineStr">
        <is>
          <t>20260629 HOK ADHDcentraal BV (1).pdf</t>
        </is>
      </c>
      <c r="B8" s="14" t="n"/>
      <c r="C8" s="15" t="inlineStr">
        <is>
          <t>Actual</t>
        </is>
      </c>
      <c r="D8" s="14" t="n"/>
      <c r="E8" s="14" t="n"/>
      <c r="F8" s="14" t="n"/>
      <c r="G8" s="14" t="n"/>
      <c r="H8" s="14" t="n">
        <v>0.9743589743589743</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Actual</t>
        </is>
      </c>
      <c r="D9" s="14" t="n"/>
      <c r="E9" s="14" t="n"/>
      <c r="F9" s="14" t="n"/>
      <c r="G9" s="14" t="n"/>
      <c r="H9" s="14" t="n">
        <v>0.9845590159644072</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Actual</t>
        </is>
      </c>
      <c r="D10" s="14" t="n"/>
      <c r="E10" s="14" t="n"/>
      <c r="F10" s="14" t="n"/>
      <c r="G10" s="14" t="n"/>
      <c r="H10" s="14" t="n">
        <v>0.9662797125483693</v>
      </c>
      <c r="K10" s="20" t="inlineStr">
        <is>
          <t>Highlighted rows = file(s) not in the annotation sheet; excluded from all metrics above.</t>
        </is>
      </c>
    </row>
    <row r="11">
      <c r="A11" s="14" t="inlineStr">
        <is>
          <t>20270801 - Getekende Allonge II Advario BV.pdf</t>
        </is>
      </c>
      <c r="B11" s="14" t="n"/>
      <c r="C11" s="15" t="inlineStr">
        <is>
          <t>Assumed</t>
        </is>
      </c>
      <c r="D11" s="14" t="n"/>
      <c r="E11" s="14" t="n"/>
      <c r="F11" s="14" t="n"/>
      <c r="G11" s="14" t="n"/>
      <c r="H11" s="14" t="n">
        <v>0.4924083769633508</v>
      </c>
      <c r="K11" s="17" t="inlineStr">
        <is>
          <t>Validation Rules Example</t>
        </is>
      </c>
    </row>
    <row r="12">
      <c r="A12" s="14" t="inlineStr">
        <is>
          <t>240119 HOVK Spoorlaan 446-448 Tilburg signed.pdf</t>
        </is>
      </c>
      <c r="B12" s="14" t="n"/>
      <c r="C12" s="15" t="inlineStr">
        <is>
          <t>Assumed</t>
        </is>
      </c>
      <c r="D12" s="14" t="n"/>
      <c r="E12" s="14" t="n"/>
      <c r="F12" s="14" t="n"/>
      <c r="G12" s="14" t="n"/>
      <c r="H12" s="14" t="n">
        <v>0.9743589743589743</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Actual</t>
        </is>
      </c>
      <c r="D13" s="14" t="n"/>
      <c r="E13" s="14" t="n"/>
      <c r="F13" s="14" t="n"/>
      <c r="G13" s="14" t="n"/>
      <c r="H13" s="14" t="n">
        <v>0.4898437500000001</v>
      </c>
      <c r="K13" t="n">
        <v>100</v>
      </c>
      <c r="L13" t="n">
        <v>100</v>
      </c>
      <c r="M13" t="inlineStr">
        <is>
          <t>TP</t>
        </is>
      </c>
    </row>
    <row r="14">
      <c r="A14" s="14" t="inlineStr">
        <is>
          <t>CBRE_AT_Services_ENG_-_RITUALS_CBRE signed.pdf</t>
        </is>
      </c>
      <c r="B14" s="14" t="n"/>
      <c r="C14" s="15" t="inlineStr">
        <is>
          <t>Assumed</t>
        </is>
      </c>
      <c r="D14" s="14" t="n"/>
      <c r="E14" s="14" t="n"/>
      <c r="F14" s="14" t="n"/>
      <c r="G14" s="14" t="n"/>
      <c r="H14" s="14" t="n">
        <v>0.9743589743589743</v>
      </c>
      <c r="L14" t="n">
        <v>100</v>
      </c>
      <c r="M14" t="inlineStr">
        <is>
          <t>FP</t>
        </is>
      </c>
    </row>
    <row r="15">
      <c r="A15" s="14" t="inlineStr">
        <is>
          <t>CBRE_Engagement_Letter_Alnylam_20260525_CLEAN_Version_signed all.pdf</t>
        </is>
      </c>
      <c r="B15" s="14" t="n"/>
      <c r="C15" s="15" t="inlineStr">
        <is>
          <t>Assumed</t>
        </is>
      </c>
      <c r="D15" s="14" t="n"/>
      <c r="E15" s="14" t="n"/>
      <c r="F15" s="14" t="n"/>
      <c r="G15" s="14" t="n"/>
      <c r="H15" s="14" t="n">
        <v>0.9845590159644072</v>
      </c>
      <c r="K15" t="n">
        <v>100</v>
      </c>
      <c r="L15" t="n">
        <v>200</v>
      </c>
      <c r="M15" t="inlineStr">
        <is>
          <t>FP</t>
        </is>
      </c>
    </row>
    <row r="16">
      <c r="A16" s="14" t="inlineStr">
        <is>
          <t>COMPL DEF Huurovereenkomst - Skybox - Pepperl+Fuchs - 20260204.pdf</t>
        </is>
      </c>
      <c r="B16" s="14" t="n"/>
      <c r="C16" s="15" t="inlineStr">
        <is>
          <t>Assumed</t>
        </is>
      </c>
      <c r="D16" s="14" t="n"/>
      <c r="E16" s="14" t="n"/>
      <c r="F16" s="14" t="n"/>
      <c r="G16" s="14" t="n"/>
      <c r="H16" s="14" t="n">
        <v>0.9845590159644072</v>
      </c>
      <c r="K16" t="n">
        <v>100</v>
      </c>
      <c r="M16" t="inlineStr">
        <is>
          <t>FN</t>
        </is>
      </c>
    </row>
    <row r="17">
      <c r="A17" s="14" t="inlineStr">
        <is>
          <t>COMPL Huurovereenkomst - Stichting CCE - Kantoorgebouw Metzpoint I Dr. Holtroplaan - Fully Signed.pdf</t>
        </is>
      </c>
      <c r="B17" s="14" t="n"/>
      <c r="C17" s="15" t="inlineStr">
        <is>
          <t>Actual</t>
        </is>
      </c>
      <c r="D17" s="14" t="n"/>
      <c r="E17" s="14" t="n"/>
      <c r="F17" s="14" t="n"/>
      <c r="G17" s="14" t="n"/>
      <c r="H17" s="14" t="n">
        <v>0.9845590159644072</v>
      </c>
      <c r="M17" t="inlineStr">
        <is>
          <t>TN</t>
        </is>
      </c>
    </row>
    <row r="18">
      <c r="A18" s="14" t="inlineStr">
        <is>
          <t>COMPL Regel Partners - HOVK - Luchthavenweg 81 - 20260728.pdf</t>
        </is>
      </c>
      <c r="B18" s="14" t="n"/>
      <c r="C18" s="15" t="inlineStr">
        <is>
          <t>Actual</t>
        </is>
      </c>
      <c r="D18" s="14" t="n"/>
      <c r="E18" s="14" t="n"/>
      <c r="F18" s="14" t="n"/>
      <c r="G18" s="14" t="n"/>
      <c r="H18" s="14" t="n">
        <v>0.4924083769633508</v>
      </c>
    </row>
    <row r="19">
      <c r="A19" s="14" t="inlineStr">
        <is>
          <t>COMPL_-_Onderhuurovereenkomst_Zelfstroom_B.V._-_50five_B.V._-_kantoorgebouw_Riva_-_05032026.pdf</t>
        </is>
      </c>
      <c r="B19" s="14" t="n"/>
      <c r="C19" s="15" t="inlineStr">
        <is>
          <t>Actual</t>
        </is>
      </c>
      <c r="D19" s="14" t="n"/>
      <c r="E19" s="14" t="n"/>
      <c r="F19" s="14" t="n"/>
      <c r="G19" s="14" t="n"/>
      <c r="H19" s="14" t="n">
        <v>0.9845590159644072</v>
      </c>
      <c r="K19" s="17" t="inlineStr">
        <is>
          <t>Field:</t>
        </is>
      </c>
      <c r="L19" t="inlineStr">
        <is>
          <t>Lease_Comp_Details / total_leased_space_estimated_f</t>
        </is>
      </c>
    </row>
    <row r="20">
      <c r="A20" s="14" t="inlineStr">
        <is>
          <t>Den Bosch, Ruwekampweg 4, HOVK getekend.pdf</t>
        </is>
      </c>
      <c r="B20" s="14" t="n"/>
      <c r="C20" s="15" t="inlineStr">
        <is>
          <t>Assumed</t>
        </is>
      </c>
      <c r="D20" s="14" t="n"/>
      <c r="E20" s="14" t="n"/>
      <c r="F20" s="14" t="n"/>
      <c r="G20" s="14" t="n"/>
      <c r="H20" s="14" t="n">
        <v>0.9743589743589743</v>
      </c>
    </row>
    <row r="21">
      <c r="A21" s="14" t="inlineStr">
        <is>
          <t>FULLY SIGNED - COMPL Huurovereenkomst - Heijmans - Hugo de Grootlaan 23 's-Hertogenbosch V2 30-9-2025.pdf</t>
        </is>
      </c>
      <c r="B21" s="14" t="n"/>
      <c r="C21" s="15" t="inlineStr">
        <is>
          <t>Actual</t>
        </is>
      </c>
      <c r="D21" s="14" t="n"/>
      <c r="E21" s="14" t="n"/>
      <c r="F21" s="14" t="n"/>
      <c r="G21" s="14" t="n"/>
      <c r="H21" s="14" t="n">
        <v>0.9845590159644072</v>
      </c>
    </row>
    <row r="22">
      <c r="A22" s="14" t="inlineStr">
        <is>
          <t>FULLY SIGNED - DEF_COMPL_Huurovereenkomst_Robo_Charge_-_Campus_Offices_-_20260220.pdf</t>
        </is>
      </c>
      <c r="B22" s="14" t="n"/>
      <c r="C22" s="15" t="inlineStr">
        <is>
          <t>Actual</t>
        </is>
      </c>
      <c r="D22" s="14" t="n"/>
      <c r="E22" s="14" t="n"/>
      <c r="F22" s="14" t="n"/>
      <c r="G22" s="14" t="n"/>
      <c r="H22" s="14" t="n">
        <v>0.9845590159644072</v>
      </c>
    </row>
    <row r="23">
      <c r="A23" s="14" t="inlineStr">
        <is>
          <t>FULLY SIGNED - Onderhuurovereenkomst Aartshertogenlaan 223, `s-Hertogenbosch - Koning Willem I College B.V. 2606202.pdf</t>
        </is>
      </c>
      <c r="B23" s="14" t="n"/>
      <c r="C23" s="15" t="inlineStr">
        <is>
          <t>Actual</t>
        </is>
      </c>
      <c r="D23" s="14" t="n"/>
      <c r="E23" s="14" t="n"/>
      <c r="F23" s="14" t="n"/>
      <c r="G23" s="14" t="n"/>
      <c r="H23" s="14" t="n">
        <v>0.9845590159644072</v>
      </c>
    </row>
    <row r="24">
      <c r="A24" s="14" t="inlineStr">
        <is>
          <t>FULLY SIGNED COMPL_DEF_Huurovereenkomst_Bond_Bergschot_Breda.pdf</t>
        </is>
      </c>
      <c r="B24" s="14" t="n"/>
      <c r="C24" s="15" t="inlineStr">
        <is>
          <t>Actual</t>
        </is>
      </c>
      <c r="D24" s="14" t="n"/>
      <c r="E24" s="14" t="n"/>
      <c r="F24" s="14" t="n"/>
      <c r="G24" s="14" t="n"/>
      <c r="H24" s="14" t="n">
        <v>0.9845590159644072</v>
      </c>
    </row>
    <row r="25">
      <c r="A25" s="14" t="inlineStr">
        <is>
          <t>FullySigned_Allonge_II_Virtual_Vaults_Nederland.pdf</t>
        </is>
      </c>
      <c r="B25" s="14" t="n"/>
      <c r="C25" s="15" t="inlineStr">
        <is>
          <t>Actual</t>
        </is>
      </c>
      <c r="D25" s="14" t="n"/>
      <c r="E25" s="14" t="n"/>
      <c r="F25" s="14" t="n"/>
      <c r="G25" s="14" t="n"/>
      <c r="H25" s="14" t="n">
        <v>0.9845590159644072</v>
      </c>
    </row>
    <row r="26">
      <c r="A26" s="14" t="inlineStr">
        <is>
          <t>FullySigned_Lease_Agreement_Neste_EDGE_Coolsingel.pdf</t>
        </is>
      </c>
      <c r="B26" s="14" t="n"/>
      <c r="C26" s="15" t="inlineStr">
        <is>
          <t>Assumed</t>
        </is>
      </c>
      <c r="D26" s="14" t="n"/>
      <c r="E26" s="14" t="n"/>
      <c r="F26" s="14" t="n"/>
      <c r="G26" s="14" t="n"/>
      <c r="H26" s="14" t="n">
        <v>0.9795376029763487</v>
      </c>
    </row>
    <row r="27">
      <c r="A27" s="14" t="inlineStr">
        <is>
          <t>HOK Waalhaven Group (signed).pdf</t>
        </is>
      </c>
      <c r="B27" s="14" t="n"/>
      <c r="C27" s="15" t="inlineStr">
        <is>
          <t>Assumed</t>
        </is>
      </c>
      <c r="D27" s="14" t="n"/>
      <c r="E27" s="14" t="n"/>
      <c r="F27" s="14" t="n"/>
      <c r="G27" s="14" t="n"/>
      <c r="H27" s="14" t="n">
        <v>0.9743589743589743</v>
      </c>
    </row>
    <row r="28">
      <c r="A28" s="14" t="inlineStr">
        <is>
          <t>Hovk Avans  (3e+4e+5e verd.) 20140425.pdf</t>
        </is>
      </c>
      <c r="B28" s="14" t="n"/>
      <c r="C28" s="15" t="inlineStr">
        <is>
          <t>Assumed</t>
        </is>
      </c>
      <c r="D28" s="14" t="n"/>
      <c r="E28" s="14" t="n"/>
      <c r="F28" s="14" t="n"/>
      <c r="G28" s="14" t="n"/>
      <c r="H28" s="14" t="n">
        <v>0.491784385129457</v>
      </c>
    </row>
    <row r="29">
      <c r="A29" s="14" t="inlineStr">
        <is>
          <t>HOVK Power4People 2025.pdf</t>
        </is>
      </c>
      <c r="B29" s="14" t="n"/>
      <c r="C29" s="15" t="inlineStr">
        <is>
          <t>Actual</t>
        </is>
      </c>
      <c r="D29" s="14" t="n"/>
      <c r="E29" s="14" t="n"/>
      <c r="F29" s="14" t="n"/>
      <c r="G29" s="14" t="n"/>
      <c r="H29" s="14" t="n">
        <v>0.4836397798953161</v>
      </c>
    </row>
    <row r="30">
      <c r="A30" s="14" t="inlineStr">
        <is>
          <t>Huurovereenkomst (Semmie Group B.V.) - Wilhelminasingel 19, Breda.pdf</t>
        </is>
      </c>
      <c r="B30" s="14" t="n"/>
      <c r="C30" s="15" t="inlineStr">
        <is>
          <t>Assumed</t>
        </is>
      </c>
      <c r="D30" s="14" t="n"/>
      <c r="E30" s="14" t="n"/>
      <c r="F30" s="14" t="n"/>
      <c r="G30" s="14" t="n"/>
      <c r="H30" s="14" t="n">
        <v>0.9820675105485231</v>
      </c>
    </row>
    <row r="31">
      <c r="A31" s="14" t="inlineStr">
        <is>
          <t>Huurovereenkomst - proces-verbaal van oplevering - sleuteloverdracht - Kennedyplein 101 - getekend.pdf</t>
        </is>
      </c>
      <c r="B31" s="14" t="n"/>
      <c r="C31" s="15" t="inlineStr">
        <is>
          <t>Actual</t>
        </is>
      </c>
      <c r="D31" s="14" t="n"/>
      <c r="E31" s="14" t="n"/>
      <c r="F31" s="14" t="n"/>
      <c r="G31" s="14" t="n"/>
      <c r="H31" s="14" t="n">
        <v>0.9845590159644072</v>
      </c>
    </row>
    <row r="32">
      <c r="A32" s="14" t="inlineStr">
        <is>
          <t>Huurovereenkomst Bijster 5 te Breda getekend.pdf</t>
        </is>
      </c>
      <c r="B32" s="14" t="n"/>
      <c r="C32" s="15" t="inlineStr">
        <is>
          <t>Assumed</t>
        </is>
      </c>
      <c r="D32" s="14" t="n"/>
      <c r="E32" s="14" t="n"/>
      <c r="F32" s="14" t="n"/>
      <c r="G32" s="14" t="n"/>
      <c r="H32" s="14" t="n">
        <v>0.491784385129457</v>
      </c>
    </row>
    <row r="33">
      <c r="A33" s="14" t="inlineStr">
        <is>
          <t>Huurovereenkomst Catena Pand Son - Skymark (Son en Breugel - NLD).pdf</t>
        </is>
      </c>
      <c r="B33" s="14" t="n"/>
      <c r="C33" s="15" t="inlineStr">
        <is>
          <t>Actual</t>
        </is>
      </c>
      <c r="D33" s="14" t="n"/>
      <c r="E33" s="14" t="n"/>
      <c r="F33" s="14" t="n"/>
      <c r="G33" s="14" t="n"/>
      <c r="H33" s="14" t="n">
        <v>0.4898437500000001</v>
      </c>
    </row>
    <row r="34">
      <c r="A34" s="14" t="inlineStr">
        <is>
          <t>Huurovereenkomst KPN Opstelpunt Parallelweg 64 20130313.pdf</t>
        </is>
      </c>
      <c r="B34" s="14" t="n"/>
      <c r="C34" s="15" t="inlineStr">
        <is>
          <t>Assumed</t>
        </is>
      </c>
      <c r="D34" s="14" t="n"/>
      <c r="E34" s="14" t="n"/>
      <c r="F34" s="14" t="n"/>
      <c r="G34" s="14" t="n"/>
      <c r="H34" s="14" t="n">
        <v>0.4911491561011065</v>
      </c>
    </row>
    <row r="35">
      <c r="A35" s="14" t="inlineStr">
        <is>
          <t>Huurovereenkomst PBG Parallelweg 64 (beg.grond) 20121008.pdf</t>
        </is>
      </c>
      <c r="B35" s="14" t="n"/>
      <c r="C35" s="15" t="inlineStr">
        <is>
          <t>Actual</t>
        </is>
      </c>
      <c r="D35" s="14" t="n"/>
      <c r="E35" s="14" t="n"/>
      <c r="F35" s="14" t="n"/>
      <c r="G35" s="14" t="n"/>
      <c r="H35" s="14" t="n">
        <v>0.9690156292843433</v>
      </c>
    </row>
    <row r="36">
      <c r="A36" s="14" t="inlineStr">
        <is>
          <t>MWO CBRE SPA (ITALY) CBRE_090724.pdf</t>
        </is>
      </c>
      <c r="B36" s="14" t="n"/>
      <c r="C36" s="15" t="inlineStr">
        <is>
          <t>Actual</t>
        </is>
      </c>
      <c r="D36" s="14" t="n"/>
      <c r="E36" s="14" t="n"/>
      <c r="F36" s="14" t="n"/>
      <c r="G36" s="14" t="n"/>
      <c r="H36" s="14" t="n">
        <v>0.4911491561011065</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De Gruyter Fabriek</t>
        </is>
      </c>
      <c r="D3" s="14" t="n"/>
      <c r="E3" s="14" t="n"/>
      <c r="F3" s="14" t="n"/>
      <c r="G3" s="14" t="n"/>
      <c r="H3" s="14" t="n">
        <v>0.9845590159644072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EDGE Eindhoven</t>
        </is>
      </c>
      <c r="D4" s="14" t="n"/>
      <c r="E4" s="14" t="n"/>
      <c r="F4" s="14" t="n"/>
      <c r="G4" s="14" t="n"/>
      <c r="H4" s="14" t="n">
        <v>0.9845590159644072</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Campus Hambaken</t>
        </is>
      </c>
      <c r="D5" s="14" t="n"/>
      <c r="E5" s="14" t="n"/>
      <c r="F5" s="14" t="n"/>
      <c r="G5" s="14" t="n"/>
      <c r="H5" s="14" t="n">
        <v>0.9795376029763487</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Panther</t>
        </is>
      </c>
      <c r="D6" s="14" t="n"/>
      <c r="E6" s="14" t="n"/>
      <c r="F6" s="14" t="n"/>
      <c r="G6" s="14" t="n"/>
      <c r="H6" s="14" t="n">
        <v>0.9820675105485231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Bond Park</t>
        </is>
      </c>
      <c r="D7" s="14" t="n"/>
      <c r="E7" s="14" t="n"/>
      <c r="F7" s="14" t="n"/>
      <c r="G7" s="14" t="n"/>
      <c r="H7" s="14" t="n">
        <v>0.9845590159644072</v>
      </c>
      <c r="K7" s="17" t="inlineStr">
        <is>
          <t>Total Docs Tested</t>
        </is>
      </c>
      <c r="L7" s="19">
        <f>COUNTA(A2:A36)</f>
        <v/>
      </c>
      <c r="N7" s="17" t="inlineStr">
        <is>
          <t>Total Docs Tested</t>
        </is>
      </c>
      <c r="O7" s="19">
        <f>COUNTA(A2:A36)</f>
        <v/>
      </c>
    </row>
    <row r="8">
      <c r="A8" s="14" t="inlineStr">
        <is>
          <t>20260629 HOK ADHDcentraal BV (1).pdf</t>
        </is>
      </c>
      <c r="B8" s="14" t="n"/>
      <c r="C8" s="15" t="inlineStr">
        <is>
          <t>Campus Hambaken Offices</t>
        </is>
      </c>
      <c r="D8" s="14" t="n"/>
      <c r="E8" s="14" t="n"/>
      <c r="F8" s="14" t="n"/>
      <c r="G8" s="14" t="n"/>
      <c r="H8" s="14" t="n">
        <v>0.9795376029763487</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Arcura Medical Properties</t>
        </is>
      </c>
      <c r="D9" s="14" t="n"/>
      <c r="E9" s="14" t="n"/>
      <c r="F9" s="14" t="n"/>
      <c r="G9" s="14" t="n"/>
      <c r="H9" s="14" t="n">
        <v>0.8972222222222223</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CAMPUS OFFICES</t>
        </is>
      </c>
      <c r="D10" s="14" t="n"/>
      <c r="E10" s="14" t="n"/>
      <c r="F10" s="14" t="n"/>
      <c r="G10" s="14" t="n"/>
      <c r="H10" s="14" t="n">
        <v>0.9690156292843433</v>
      </c>
      <c r="K10" s="20" t="inlineStr">
        <is>
          <t>Highlighted rows = file(s) not in the annotation sheet; excluded from all metrics above.</t>
        </is>
      </c>
    </row>
    <row r="11">
      <c r="A11" s="14" t="inlineStr">
        <is>
          <t>20270801 - Getekende Allonge II Advario BV.pdf</t>
        </is>
      </c>
      <c r="B11" s="14" t="n"/>
      <c r="C11" s="15" t="inlineStr">
        <is>
          <t>World Trade Center Rotterdam</t>
        </is>
      </c>
      <c r="D11" s="14" t="n"/>
      <c r="E11" s="14" t="n"/>
      <c r="F11" s="14" t="n"/>
      <c r="G11" s="14" t="n"/>
      <c r="H11" s="14" t="n">
        <v>0.9845590159644072</v>
      </c>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n"/>
      <c r="C13" s="15" t="inlineStr">
        <is>
          <t>Hooghuis</t>
        </is>
      </c>
      <c r="D13" s="14" t="n"/>
      <c r="E13" s="14" t="n"/>
      <c r="F13" s="14" t="n"/>
      <c r="G13" s="14" t="n"/>
      <c r="H13" s="14" t="n">
        <v>0.9743589743589743</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Skybox</t>
        </is>
      </c>
      <c r="D16" s="14" t="n"/>
      <c r="E16" s="14" t="n"/>
      <c r="F16" s="14" t="n"/>
      <c r="G16" s="14" t="n"/>
      <c r="H16" s="14" t="n">
        <v>0.9606741573033707</v>
      </c>
      <c r="K16" t="n">
        <v>100</v>
      </c>
      <c r="M16" t="inlineStr">
        <is>
          <t>FN</t>
        </is>
      </c>
    </row>
    <row r="17">
      <c r="A17" s="14" t="inlineStr">
        <is>
          <t>COMPL Huurovereenkomst - Stichting CCE - Kantoorgebouw Metzpoint I Dr. Holtroplaan - Fully Signed.pdf</t>
        </is>
      </c>
      <c r="B17" s="14" t="n"/>
      <c r="C17" s="15" t="inlineStr">
        <is>
          <t>Metzpoint</t>
        </is>
      </c>
      <c r="D17" s="14" t="n"/>
      <c r="E17" s="14" t="n"/>
      <c r="F17" s="14" t="n"/>
      <c r="G17" s="14" t="n"/>
      <c r="H17" s="14" t="n">
        <v>0.9820675105485231</v>
      </c>
      <c r="M17" t="inlineStr">
        <is>
          <t>TN</t>
        </is>
      </c>
    </row>
    <row r="18">
      <c r="A18" s="14" t="inlineStr">
        <is>
          <t>COMPL Regel Partners - HOVK - Luchthavenweg 81 - 20260728.pdf</t>
        </is>
      </c>
      <c r="B18" s="14" t="n"/>
      <c r="C18" s="15" t="inlineStr">
        <is>
          <t>Benkey Eindhoven</t>
        </is>
      </c>
      <c r="D18" s="14" t="n"/>
      <c r="E18" s="14" t="n"/>
      <c r="F18" s="14" t="n"/>
      <c r="G18" s="14" t="n"/>
      <c r="H18" s="14" t="n">
        <v>0.9820675105485231</v>
      </c>
    </row>
    <row r="19">
      <c r="A19" s="14" t="inlineStr">
        <is>
          <t>COMPL_-_Onderhuurovereenkomst_Zelfstroom_B.V._-_50five_B.V._-_kantoorgebouw_Riva_-_05032026.pdf</t>
        </is>
      </c>
      <c r="B19" s="14" t="n"/>
      <c r="C19" s="15" t="n"/>
      <c r="D19" s="14" t="n"/>
      <c r="E19" s="14" t="n"/>
      <c r="F19" s="14" t="n"/>
      <c r="G19" s="14" t="n"/>
      <c r="H19" s="14" t="n"/>
      <c r="K19" s="17" t="inlineStr">
        <is>
          <t>Field:</t>
        </is>
      </c>
      <c r="L19" t="inlineStr">
        <is>
          <t>Property / property_name</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n"/>
      <c r="D21" s="14" t="n"/>
      <c r="E21" s="14" t="n"/>
      <c r="F21" s="14" t="n"/>
      <c r="G21" s="14" t="n"/>
      <c r="H21" s="14" t="n"/>
    </row>
    <row r="22">
      <c r="A22" s="14" t="inlineStr">
        <is>
          <t>FULLY SIGNED - DEF_COMPL_Huurovereenkomst_Robo_Charge_-_Campus_Offices_-_20260220.pdf</t>
        </is>
      </c>
      <c r="B22" s="14" t="n"/>
      <c r="C22" s="15" t="inlineStr">
        <is>
          <t>Campus Hambaken</t>
        </is>
      </c>
      <c r="D22" s="14" t="n"/>
      <c r="E22" s="14" t="n"/>
      <c r="F22" s="14" t="n"/>
      <c r="G22" s="14" t="n"/>
      <c r="H22" s="14" t="n">
        <v>0.9795376029763487</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inlineStr">
        <is>
          <t>Bond Bergschot</t>
        </is>
      </c>
      <c r="D24" s="14" t="n"/>
      <c r="E24" s="14" t="n"/>
      <c r="F24" s="14" t="n"/>
      <c r="G24" s="14" t="n"/>
      <c r="H24" s="14" t="n">
        <v>0.9795376029763487</v>
      </c>
    </row>
    <row r="25">
      <c r="A25" s="14" t="inlineStr">
        <is>
          <t>FullySigned_Allonge_II_Virtual_Vaults_Nederland.pdf</t>
        </is>
      </c>
      <c r="B25" s="14" t="n"/>
      <c r="C25" s="15" t="n"/>
      <c r="D25" s="14" t="n"/>
      <c r="E25" s="14" t="n"/>
      <c r="F25" s="14" t="n"/>
      <c r="G25" s="14" t="n"/>
      <c r="H25" s="14" t="n"/>
    </row>
    <row r="26">
      <c r="A26" s="14" t="inlineStr">
        <is>
          <t>FullySigned_Lease_Agreement_Neste_EDGE_Coolsingel.pdf</t>
        </is>
      </c>
      <c r="B26" s="14" t="n"/>
      <c r="C26" s="15" t="inlineStr">
        <is>
          <t>EDGE Coolsingel</t>
        </is>
      </c>
      <c r="D26" s="14" t="n"/>
      <c r="E26" s="14" t="n"/>
      <c r="F26" s="14" t="n"/>
      <c r="G26" s="14" t="n"/>
      <c r="H26" s="14" t="n">
        <v>0.9845590159644072</v>
      </c>
    </row>
    <row r="27">
      <c r="A27" s="14" t="inlineStr">
        <is>
          <t>HOK Waalhaven Group (signed).pdf</t>
        </is>
      </c>
      <c r="B27" s="14" t="n"/>
      <c r="C27" s="15" t="n"/>
      <c r="D27" s="14" t="n"/>
      <c r="E27" s="14" t="n"/>
      <c r="F27" s="14" t="n"/>
      <c r="G27" s="14" t="n"/>
      <c r="H27" s="14" t="n"/>
    </row>
    <row r="28">
      <c r="A28" s="14" t="inlineStr">
        <is>
          <t>Hovk Avans  (3e+4e+5e verd.) 20140425.pdf</t>
        </is>
      </c>
      <c r="B28" s="14" t="n"/>
      <c r="C28" s="15" t="inlineStr">
        <is>
          <t>De Hooge Donken</t>
        </is>
      </c>
      <c r="D28" s="14" t="n"/>
      <c r="E28" s="14" t="n"/>
      <c r="F28" s="14" t="n"/>
      <c r="G28" s="14" t="n"/>
      <c r="H28" s="14" t="n">
        <v>0.9820675105485231</v>
      </c>
    </row>
    <row r="29">
      <c r="A29" s="14" t="inlineStr">
        <is>
          <t>HOVK Power4People 2025.pdf</t>
        </is>
      </c>
      <c r="B29" s="14" t="n"/>
      <c r="C29" s="15" t="inlineStr">
        <is>
          <t>For You Breda</t>
        </is>
      </c>
      <c r="D29" s="14" t="n"/>
      <c r="E29" s="14" t="n"/>
      <c r="F29" s="14" t="n"/>
      <c r="G29" s="14" t="n"/>
      <c r="H29" s="14" t="n">
        <v>0.9820675105485231</v>
      </c>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inlineStr">
        <is>
          <t>Bijster 5</t>
        </is>
      </c>
      <c r="D32" s="14" t="n"/>
      <c r="E32" s="14" t="n"/>
      <c r="F32" s="14" t="n"/>
      <c r="G32" s="14" t="n"/>
      <c r="H32" s="14" t="n">
        <v>0.9458272327964862</v>
      </c>
    </row>
    <row r="33">
      <c r="A33" s="14" t="inlineStr">
        <is>
          <t>Huurovereenkomst Catena Pand Son - Skymark (Son en Breugel - NLD).pdf</t>
        </is>
      </c>
      <c r="B33" s="14" t="n"/>
      <c r="C33" s="15" t="inlineStr">
        <is>
          <t>Science Park</t>
        </is>
      </c>
      <c r="D33" s="14" t="n"/>
      <c r="E33" s="14" t="n"/>
      <c r="F33" s="14" t="n"/>
      <c r="G33" s="14" t="n"/>
      <c r="H33" s="14" t="n">
        <v>0.9458272327964862</v>
      </c>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De Hooge Donken</t>
        </is>
      </c>
      <c r="D35" s="14" t="n"/>
      <c r="E35" s="14" t="n"/>
      <c r="F35" s="14" t="n"/>
      <c r="G35" s="14" t="n"/>
      <c r="H35" s="14" t="n">
        <v>0.9845590159644072</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36"/>
  <sheetViews>
    <sheetView zoomScale="80" zoomScaleNormal="80" workbookViewId="0">
      <pane ySplit="1" topLeftCell="A2" activePane="bottomLeft" state="frozen"/>
      <selection pane="bottomLeft" activeCell="C42" sqref="C42"/>
    </sheetView>
  </sheetViews>
  <sheetFormatPr baseColWidth="8" defaultRowHeight="14.4"/>
  <cols>
    <col width="123" bestFit="1" customWidth="1" min="1" max="1"/>
    <col width="12.33203125" bestFit="1" customWidth="1" min="2" max="2"/>
    <col width="14.109375" bestFit="1" customWidth="1" min="3" max="3"/>
    <col width="6.5546875" bestFit="1" customWidth="1" min="4" max="4"/>
    <col width="10.21875" bestFit="1" customWidth="1" min="5" max="5"/>
    <col width="15.109375" bestFit="1" customWidth="1" min="6" max="6"/>
    <col width="9.109375" bestFit="1" customWidth="1" min="7" max="7"/>
    <col width="12.6640625" bestFit="1" customWidth="1" min="8" max="8"/>
    <col width="29.77734375" customWidth="1" min="11" max="11"/>
    <col width="31.88671875" bestFit="1" customWidth="1" min="12" max="12"/>
    <col width="6.5546875" bestFit="1" customWidth="1" min="13" max="13"/>
    <col width="27.6640625" bestFit="1" customWidth="1" min="14" max="14"/>
    <col width="10.6640625" bestFit="1"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21" t="inlineStr">
        <is>
          <t>31/12/2033</t>
        </is>
      </c>
      <c r="C2" s="22" t="inlineStr">
        <is>
          <t>31/12/2033</t>
        </is>
      </c>
      <c r="D2" s="14" t="inlineStr">
        <is>
          <t>TP</t>
        </is>
      </c>
      <c r="E2" s="14" t="n"/>
      <c r="F2" s="14" t="n"/>
      <c r="G2" s="14" t="n"/>
      <c r="H2" s="14" t="n">
        <v>0.9845590159644072</v>
      </c>
      <c r="K2" s="16" t="inlineStr">
        <is>
          <t>Metrics</t>
        </is>
      </c>
      <c r="L2" s="16" t="inlineStr">
        <is>
          <t>Percentage</t>
        </is>
      </c>
      <c r="N2" s="16" t="inlineStr">
        <is>
          <t>Metrics</t>
        </is>
      </c>
      <c r="O2" s="16" t="inlineStr">
        <is>
          <t>Percentage</t>
        </is>
      </c>
    </row>
    <row r="3">
      <c r="A3" s="14" t="inlineStr">
        <is>
          <t>2024.10.30_Office Rental Agreement Labs_Gruyter Fabriek.pdf</t>
        </is>
      </c>
      <c r="B3" s="21" t="inlineStr">
        <is>
          <t>31/12/2029</t>
        </is>
      </c>
      <c r="C3" s="22" t="inlineStr">
        <is>
          <t>31/12/2029</t>
        </is>
      </c>
      <c r="D3" s="14" t="inlineStr">
        <is>
          <t>TP</t>
        </is>
      </c>
      <c r="E3" s="14" t="n"/>
      <c r="F3" s="14" t="n"/>
      <c r="G3" s="14" t="n"/>
      <c r="H3" s="14" t="n">
        <v>0.9743589743589743</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21" t="inlineStr">
        <is>
          <t>30/06/2036</t>
        </is>
      </c>
      <c r="C4" s="22" t="inlineStr">
        <is>
          <t>30/06/2036</t>
        </is>
      </c>
      <c r="D4" s="14" t="inlineStr">
        <is>
          <t>TP</t>
        </is>
      </c>
      <c r="E4" s="14" t="n"/>
      <c r="F4" s="14" t="n"/>
      <c r="G4" s="14" t="n"/>
      <c r="H4" s="14" t="n">
        <v>0.9743589743589743</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21" t="inlineStr">
        <is>
          <t>16/02/2026</t>
        </is>
      </c>
      <c r="C5" s="22" t="inlineStr">
        <is>
          <t>16/02/2026</t>
        </is>
      </c>
      <c r="D5" s="14" t="inlineStr">
        <is>
          <t>TP</t>
        </is>
      </c>
      <c r="E5" s="14" t="n"/>
      <c r="F5" s="14" t="n"/>
      <c r="G5" s="14" t="n"/>
      <c r="H5" s="14" t="n">
        <v>0.9820675105485231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24" t="inlineStr">
        <is>
          <t>28/02/2038</t>
        </is>
      </c>
      <c r="C6" s="25" t="inlineStr">
        <is>
          <t>31/03/2038</t>
        </is>
      </c>
      <c r="D6" s="26" t="inlineStr">
        <is>
          <t>FP</t>
        </is>
      </c>
      <c r="E6" s="14" t="n"/>
      <c r="F6" s="14" t="n"/>
      <c r="G6" s="14" t="n"/>
      <c r="H6" s="14" t="n">
        <v>0.8130287125656067</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21" t="inlineStr">
        <is>
          <t>28/02/2029</t>
        </is>
      </c>
      <c r="C7" s="22" t="inlineStr">
        <is>
          <t>28/02/2029</t>
        </is>
      </c>
      <c r="D7" s="14" t="inlineStr">
        <is>
          <t>TP</t>
        </is>
      </c>
      <c r="E7" s="14" t="n"/>
      <c r="F7" s="14" t="n"/>
      <c r="G7" s="14" t="n"/>
      <c r="H7" s="14" t="n">
        <v>0.9743589743589743</v>
      </c>
      <c r="K7" s="17" t="inlineStr">
        <is>
          <t>Total Docs Tested</t>
        </is>
      </c>
      <c r="L7" s="19">
        <f>COUNTA(A2:A36)</f>
        <v/>
      </c>
      <c r="N7" s="17" t="inlineStr">
        <is>
          <t>Total Docs Tested</t>
        </is>
      </c>
      <c r="O7" s="19">
        <f>COUNTA(A2:A36)</f>
        <v/>
      </c>
    </row>
    <row r="8">
      <c r="A8" s="14" t="inlineStr">
        <is>
          <t>20260629 HOK ADHDcentraal BV (1).pdf</t>
        </is>
      </c>
      <c r="B8" s="21" t="inlineStr">
        <is>
          <t>31/08/2028</t>
        </is>
      </c>
      <c r="C8" s="22" t="inlineStr">
        <is>
          <t>31/08/2028</t>
        </is>
      </c>
      <c r="D8" s="14" t="inlineStr">
        <is>
          <t>TP</t>
        </is>
      </c>
      <c r="E8" s="14" t="n"/>
      <c r="F8" s="14" t="n"/>
      <c r="G8" s="14" t="n"/>
      <c r="H8" s="14" t="n">
        <v>0.9845590159644072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21" t="inlineStr">
        <is>
          <t>31/12/2036</t>
        </is>
      </c>
      <c r="C9" s="22" t="inlineStr">
        <is>
          <t>31/12/2036</t>
        </is>
      </c>
      <c r="D9" s="14" t="inlineStr">
        <is>
          <t>TP</t>
        </is>
      </c>
      <c r="E9" s="14" t="n"/>
      <c r="F9" s="14" t="n"/>
      <c r="G9" s="14" t="n"/>
      <c r="H9" s="14" t="n">
        <v>0.9845590159644072</v>
      </c>
      <c r="K9" s="17" t="inlineStr">
        <is>
          <t>No Of Docs With Response</t>
        </is>
      </c>
      <c r="L9" s="19">
        <f>COUNTIFS(C2:C36,"&lt;&gt;")</f>
        <v/>
      </c>
      <c r="N9" s="17" t="inlineStr">
        <is>
          <t>No Of Docs With Response Pg</t>
        </is>
      </c>
      <c r="O9" s="19">
        <f>COUNTIFS(F2:F36,"&lt;&gt;")</f>
        <v/>
      </c>
    </row>
    <row r="10">
      <c r="A10" s="14" t="inlineStr">
        <is>
          <t>20260810 HOK ClustR BV.pdf</t>
        </is>
      </c>
      <c r="B10" s="21" t="inlineStr">
        <is>
          <t>30/09/2028</t>
        </is>
      </c>
      <c r="C10" s="22" t="inlineStr">
        <is>
          <t>30/09/2028</t>
        </is>
      </c>
      <c r="D10" s="14" t="inlineStr">
        <is>
          <t>TP</t>
        </is>
      </c>
      <c r="E10" s="14" t="n"/>
      <c r="F10" s="14" t="n"/>
      <c r="G10" s="14" t="n"/>
      <c r="H10" s="14" t="n">
        <v>0.9845590159644072</v>
      </c>
      <c r="K10" s="20" t="inlineStr">
        <is>
          <t>Highlighted rows = file(s) not in the annotation sheet; excluded from all metrics above.</t>
        </is>
      </c>
    </row>
    <row r="11">
      <c r="A11" s="14" t="inlineStr">
        <is>
          <t>20270801 - Getekende Allonge II Advario BV.pdf</t>
        </is>
      </c>
      <c r="B11" s="21" t="inlineStr">
        <is>
          <t>31/07/2032</t>
        </is>
      </c>
      <c r="C11" s="22" t="inlineStr">
        <is>
          <t>31/07/2032</t>
        </is>
      </c>
      <c r="D11" s="14" t="inlineStr">
        <is>
          <t>TP</t>
        </is>
      </c>
      <c r="E11" s="14" t="inlineStr">
        <is>
          <t>3</t>
        </is>
      </c>
      <c r="F11" s="14" t="n"/>
      <c r="G11" s="14" t="n"/>
      <c r="H11" s="14" t="n">
        <v>0.9845590159644072</v>
      </c>
      <c r="K11" s="17" t="inlineStr">
        <is>
          <t>Validation Rules Example</t>
        </is>
      </c>
    </row>
    <row r="12">
      <c r="A12" s="14" t="inlineStr">
        <is>
          <t>240119 HOVK Spoorlaan 446-448 Tilburg signed.pdf</t>
        </is>
      </c>
      <c r="B12" s="21" t="inlineStr">
        <is>
          <t>31/03/2027</t>
        </is>
      </c>
      <c r="C12" s="22" t="inlineStr">
        <is>
          <t>31/03/2027</t>
        </is>
      </c>
      <c r="D12" s="14" t="inlineStr">
        <is>
          <t>TP</t>
        </is>
      </c>
      <c r="E12" s="14" t="n"/>
      <c r="F12" s="14" t="n"/>
      <c r="G12" s="14" t="n"/>
      <c r="H12" s="14" t="n">
        <v>0.9845590159644072</v>
      </c>
      <c r="K12" s="16" t="inlineStr">
        <is>
          <t>Manual Data</t>
        </is>
      </c>
      <c r="L12" s="16" t="inlineStr">
        <is>
          <t>Response Data</t>
        </is>
      </c>
      <c r="M12" s="16" t="inlineStr">
        <is>
          <t>Result</t>
        </is>
      </c>
    </row>
    <row r="13">
      <c r="A13" s="14" t="inlineStr">
        <is>
          <t>27001 Rijksvastgoedbedrijf Huurovereenkomst - __27-01-2026_9-07-56.pdf</t>
        </is>
      </c>
      <c r="B13" s="21" t="inlineStr">
        <is>
          <t>31/12/2026</t>
        </is>
      </c>
      <c r="C13" s="22" t="inlineStr">
        <is>
          <t>31/12/2026</t>
        </is>
      </c>
      <c r="D13" s="14" t="inlineStr">
        <is>
          <t>TP</t>
        </is>
      </c>
      <c r="E13" s="14" t="n"/>
      <c r="F13" s="14" t="n"/>
      <c r="G13" s="14" t="n"/>
      <c r="H13" s="14" t="n">
        <v>0.9820675105485231</v>
      </c>
      <c r="K13" t="n">
        <v>100</v>
      </c>
      <c r="L13" t="n">
        <v>100</v>
      </c>
      <c r="M13" t="inlineStr">
        <is>
          <t>TP</t>
        </is>
      </c>
    </row>
    <row r="14">
      <c r="A14" s="14" t="inlineStr">
        <is>
          <t>CBRE_AT_Services_ENG_-_RITUALS_CBRE signed.pdf</t>
        </is>
      </c>
      <c r="B14" s="21" t="n"/>
      <c r="C14" s="22" t="n"/>
      <c r="D14" s="14" t="n"/>
      <c r="E14" s="14" t="n"/>
      <c r="F14" s="14" t="n"/>
      <c r="G14" s="14" t="n"/>
      <c r="H14" s="14" t="n"/>
      <c r="L14" t="n">
        <v>100</v>
      </c>
      <c r="M14" t="inlineStr">
        <is>
          <t>FP</t>
        </is>
      </c>
    </row>
    <row r="15">
      <c r="A15" s="14" t="inlineStr">
        <is>
          <t>CBRE_Engagement_Letter_Alnylam_20260525_CLEAN_Version_signed all.pdf</t>
        </is>
      </c>
      <c r="B15" s="21" t="n"/>
      <c r="C15" s="22" t="n"/>
      <c r="D15" s="14" t="n"/>
      <c r="E15" s="14" t="n"/>
      <c r="F15" s="14" t="n"/>
      <c r="G15" s="14" t="n"/>
      <c r="H15" s="14" t="n"/>
      <c r="K15" t="n">
        <v>100</v>
      </c>
      <c r="L15" t="n">
        <v>200</v>
      </c>
      <c r="M15" t="inlineStr">
        <is>
          <t>FP</t>
        </is>
      </c>
    </row>
    <row r="16">
      <c r="A16" s="14" t="inlineStr">
        <is>
          <t>COMPL DEF Huurovereenkomst - Skybox - Pepperl+Fuchs - 20260204.pdf</t>
        </is>
      </c>
      <c r="B16" s="21" t="inlineStr">
        <is>
          <t>30/11/2031</t>
        </is>
      </c>
      <c r="C16" s="22" t="inlineStr">
        <is>
          <t>30/11/2031</t>
        </is>
      </c>
      <c r="D16" s="14" t="inlineStr">
        <is>
          <t>TP</t>
        </is>
      </c>
      <c r="E16" s="14" t="n"/>
      <c r="F16" s="14" t="n"/>
      <c r="G16" s="14" t="n"/>
      <c r="H16" s="14" t="n">
        <v>0.9845590159644072</v>
      </c>
      <c r="K16" t="n">
        <v>100</v>
      </c>
      <c r="M16" t="inlineStr">
        <is>
          <t>FN</t>
        </is>
      </c>
    </row>
    <row r="17">
      <c r="A17" s="14" t="inlineStr">
        <is>
          <t>COMPL Huurovereenkomst - Stichting CCE - Kantoorgebouw Metzpoint I Dr. Holtroplaan - Fully Signed.pdf</t>
        </is>
      </c>
      <c r="B17" s="21" t="inlineStr">
        <is>
          <t>30/04/2035</t>
        </is>
      </c>
      <c r="C17" s="22" t="inlineStr">
        <is>
          <t>30/04/2035</t>
        </is>
      </c>
      <c r="D17" s="14" t="inlineStr">
        <is>
          <t>TP</t>
        </is>
      </c>
      <c r="E17" s="14" t="n"/>
      <c r="F17" s="14" t="n"/>
      <c r="G17" s="14" t="n"/>
      <c r="H17" s="14" t="n">
        <v>0.9845590159644072</v>
      </c>
      <c r="M17" t="inlineStr">
        <is>
          <t>TN</t>
        </is>
      </c>
    </row>
    <row r="18">
      <c r="A18" s="14" t="inlineStr">
        <is>
          <t>COMPL Regel Partners - HOVK - Luchthavenweg 81 - 20260728.pdf</t>
        </is>
      </c>
      <c r="B18" s="21" t="inlineStr">
        <is>
          <t>30/09/2031</t>
        </is>
      </c>
      <c r="C18" s="22" t="inlineStr">
        <is>
          <t>30/09/2031</t>
        </is>
      </c>
      <c r="D18" s="14" t="inlineStr">
        <is>
          <t>TP</t>
        </is>
      </c>
      <c r="E18" s="14" t="n"/>
      <c r="F18" s="14" t="n"/>
      <c r="G18" s="14" t="n"/>
      <c r="H18" s="14" t="n">
        <v>0.9743589743589743</v>
      </c>
    </row>
    <row r="19">
      <c r="A19" s="14" t="inlineStr">
        <is>
          <t>COMPL_-_Onderhuurovereenkomst_Zelfstroom_B.V._-_50five_B.V._-_kantoorgebouw_Riva_-_05032026.pdf</t>
        </is>
      </c>
      <c r="B19" s="23" t="n">
        <v>46028</v>
      </c>
      <c r="C19" s="22" t="inlineStr">
        <is>
          <t>01/06/2026</t>
        </is>
      </c>
      <c r="D19" s="14" t="inlineStr">
        <is>
          <t>TP</t>
        </is>
      </c>
      <c r="E19" s="14" t="n"/>
      <c r="F19" s="14" t="n"/>
      <c r="G19" s="14" t="n"/>
      <c r="H19" s="14" t="n">
        <v>0.9743589743589743</v>
      </c>
      <c r="K19" s="17" t="inlineStr">
        <is>
          <t>Field:</t>
        </is>
      </c>
      <c r="L19" t="inlineStr">
        <is>
          <t>Terms / Arrangement_End_Date</t>
        </is>
      </c>
    </row>
    <row r="20">
      <c r="A20" s="14" t="inlineStr">
        <is>
          <t>Den Bosch, Ruwekampweg 4, HOVK getekend.pdf</t>
        </is>
      </c>
      <c r="B20" s="21" t="inlineStr">
        <is>
          <t>31/12/2026</t>
        </is>
      </c>
      <c r="C20" s="22" t="inlineStr">
        <is>
          <t>31/12/2026</t>
        </is>
      </c>
      <c r="D20" s="14" t="inlineStr">
        <is>
          <t>TP</t>
        </is>
      </c>
      <c r="E20" s="14" t="n"/>
      <c r="F20" s="14" t="n"/>
      <c r="G20" s="14" t="n"/>
      <c r="H20" s="14" t="n">
        <v>0.9743589743589743</v>
      </c>
    </row>
    <row r="21">
      <c r="A21" s="14" t="inlineStr">
        <is>
          <t>FULLY SIGNED - COMPL Huurovereenkomst - Heijmans - Hugo de Grootlaan 23 's-Hertogenbosch V2 30-9-2025.pdf</t>
        </is>
      </c>
      <c r="B21" s="21" t="inlineStr">
        <is>
          <t>14/10/2026</t>
        </is>
      </c>
      <c r="C21" s="22" t="inlineStr">
        <is>
          <t>14/10/2026</t>
        </is>
      </c>
      <c r="D21" s="14" t="inlineStr">
        <is>
          <t>TP</t>
        </is>
      </c>
      <c r="E21" s="14" t="n"/>
      <c r="F21" s="14" t="n"/>
      <c r="G21" s="14" t="n"/>
      <c r="H21" s="14" t="n">
        <v>0.9845590159644072</v>
      </c>
    </row>
    <row r="22">
      <c r="A22" s="14" t="inlineStr">
        <is>
          <t>FULLY SIGNED - DEF_COMPL_Huurovereenkomst_Robo_Charge_-_Campus_Offices_-_20260220.pdf</t>
        </is>
      </c>
      <c r="B22" s="21" t="inlineStr">
        <is>
          <t>31/03/2031</t>
        </is>
      </c>
      <c r="C22" s="22" t="inlineStr">
        <is>
          <t>31/03/2031</t>
        </is>
      </c>
      <c r="D22" s="14" t="inlineStr">
        <is>
          <t>TP</t>
        </is>
      </c>
      <c r="E22" s="14" t="n"/>
      <c r="F22" s="14" t="n"/>
      <c r="G22" s="14" t="n"/>
      <c r="H22" s="14" t="n">
        <v>0.9743589743589743</v>
      </c>
    </row>
    <row r="23">
      <c r="A23" s="14" t="inlineStr">
        <is>
          <t>FULLY SIGNED - Onderhuurovereenkomst Aartshertogenlaan 223, `s-Hertogenbosch - Koning Willem I College B.V. 2606202.pdf</t>
        </is>
      </c>
      <c r="B23" s="21" t="inlineStr">
        <is>
          <t>31/07/2029</t>
        </is>
      </c>
      <c r="C23" s="22" t="inlineStr">
        <is>
          <t>31/07/2029</t>
        </is>
      </c>
      <c r="D23" s="14" t="inlineStr">
        <is>
          <t>TP</t>
        </is>
      </c>
      <c r="E23" s="14" t="n"/>
      <c r="F23" s="14" t="n"/>
      <c r="G23" s="14" t="n"/>
      <c r="H23" s="14" t="n">
        <v>0.9743589743589743</v>
      </c>
    </row>
    <row r="24">
      <c r="A24" s="14" t="inlineStr">
        <is>
          <t>FULLY SIGNED COMPL_DEF_Huurovereenkomst_Bond_Bergschot_Breda.pdf</t>
        </is>
      </c>
      <c r="B24" s="21" t="inlineStr">
        <is>
          <t>31/12/2028</t>
        </is>
      </c>
      <c r="C24" s="22" t="inlineStr">
        <is>
          <t>31/12/2028</t>
        </is>
      </c>
      <c r="D24" s="14" t="inlineStr">
        <is>
          <t>TP</t>
        </is>
      </c>
      <c r="E24" s="14" t="n"/>
      <c r="F24" s="14" t="n"/>
      <c r="G24" s="14" t="n"/>
      <c r="H24" s="14" t="n">
        <v>0.9845590159644072</v>
      </c>
    </row>
    <row r="25">
      <c r="A25" s="14" t="inlineStr">
        <is>
          <t>FullySigned_Allonge_II_Virtual_Vaults_Nederland.pdf</t>
        </is>
      </c>
      <c r="B25" s="21" t="inlineStr">
        <is>
          <t>31/10/2032</t>
        </is>
      </c>
      <c r="C25" s="22" t="inlineStr">
        <is>
          <t>31/10/2027</t>
        </is>
      </c>
      <c r="D25" s="14" t="inlineStr">
        <is>
          <t>TP</t>
        </is>
      </c>
      <c r="E25" s="14" t="n"/>
      <c r="F25" s="14" t="n"/>
      <c r="G25" s="14" t="n"/>
      <c r="H25" s="14" t="n">
        <v>0.9845590159644072</v>
      </c>
    </row>
    <row r="26">
      <c r="A26" s="14" t="inlineStr">
        <is>
          <t>FullySigned_Lease_Agreement_Neste_EDGE_Coolsingel.pdf</t>
        </is>
      </c>
      <c r="B26" s="21" t="inlineStr">
        <is>
          <t>31/07/2032</t>
        </is>
      </c>
      <c r="C26" s="22" t="inlineStr">
        <is>
          <t>31/07/2032</t>
        </is>
      </c>
      <c r="D26" s="14" t="inlineStr">
        <is>
          <t>TP</t>
        </is>
      </c>
      <c r="E26" s="14" t="n"/>
      <c r="F26" s="14" t="n"/>
      <c r="G26" s="14" t="n"/>
      <c r="H26" s="14" t="n">
        <v>0.9820675105485231</v>
      </c>
    </row>
    <row r="27">
      <c r="A27" s="14" t="inlineStr">
        <is>
          <t>HOK Waalhaven Group (signed).pdf</t>
        </is>
      </c>
      <c r="B27" s="21" t="inlineStr">
        <is>
          <t>31/08/2031</t>
        </is>
      </c>
      <c r="C27" s="22" t="inlineStr">
        <is>
          <t>31/08/2031</t>
        </is>
      </c>
      <c r="D27" s="14" t="inlineStr">
        <is>
          <t>TP</t>
        </is>
      </c>
      <c r="E27" s="14" t="n"/>
      <c r="F27" s="14" t="n"/>
      <c r="G27" s="14" t="n"/>
      <c r="H27" s="14" t="n">
        <v>0.9743589743589743</v>
      </c>
    </row>
    <row r="28">
      <c r="A28" s="14" t="inlineStr">
        <is>
          <t>Hovk Avans  (3e+4e+5e verd.) 20140425.pdf</t>
        </is>
      </c>
      <c r="B28" s="21" t="inlineStr">
        <is>
          <t>30/06/2019</t>
        </is>
      </c>
      <c r="C28" s="22" t="inlineStr">
        <is>
          <t>30/06/2019</t>
        </is>
      </c>
      <c r="D28" s="14" t="inlineStr">
        <is>
          <t>TP</t>
        </is>
      </c>
      <c r="E28" s="14" t="n"/>
      <c r="F28" s="14" t="n"/>
      <c r="G28" s="14" t="n"/>
      <c r="H28" s="14" t="n">
        <v>0.9845590159644072</v>
      </c>
    </row>
    <row r="29">
      <c r="A29" s="14" t="inlineStr">
        <is>
          <t>HOVK Power4People 2025.pdf</t>
        </is>
      </c>
      <c r="B29" s="21" t="inlineStr">
        <is>
          <t>30/06/2026</t>
        </is>
      </c>
      <c r="C29" s="22" t="inlineStr">
        <is>
          <t>30/06/2026</t>
        </is>
      </c>
      <c r="D29" s="14" t="inlineStr">
        <is>
          <t>TP</t>
        </is>
      </c>
      <c r="E29" s="14" t="n"/>
      <c r="F29" s="14" t="n"/>
      <c r="G29" s="14" t="n"/>
      <c r="H29" s="14" t="n">
        <v>0.9845590159644072</v>
      </c>
    </row>
    <row r="30">
      <c r="A30" s="14" t="inlineStr">
        <is>
          <t>Huurovereenkomst (Semmie Group B.V.) - Wilhelminasingel 19, Breda.pdf</t>
        </is>
      </c>
      <c r="B30" s="21" t="inlineStr">
        <is>
          <t>30/04/2029</t>
        </is>
      </c>
      <c r="C30" s="22" t="inlineStr">
        <is>
          <t>30/04/2029</t>
        </is>
      </c>
      <c r="D30" s="14" t="inlineStr">
        <is>
          <t>TP</t>
        </is>
      </c>
      <c r="E30" s="14" t="n"/>
      <c r="F30" s="14" t="n"/>
      <c r="G30" s="14" t="n"/>
      <c r="H30" s="14" t="n">
        <v>0.9845590159644072</v>
      </c>
    </row>
    <row r="31">
      <c r="A31" s="14" t="inlineStr">
        <is>
          <t>Huurovereenkomst - proces-verbaal van oplevering - sleuteloverdracht - Kennedyplein 101 - getekend.pdf</t>
        </is>
      </c>
      <c r="B31" s="21" t="inlineStr">
        <is>
          <t>28/02/2029</t>
        </is>
      </c>
      <c r="C31" s="22" t="inlineStr">
        <is>
          <t>28/02/2029</t>
        </is>
      </c>
      <c r="D31" s="14" t="inlineStr">
        <is>
          <t>TP</t>
        </is>
      </c>
      <c r="E31" s="14" t="n"/>
      <c r="F31" s="14" t="n"/>
      <c r="G31" s="14" t="n"/>
      <c r="H31" s="14" t="n">
        <v>0.9845590159644072</v>
      </c>
    </row>
    <row r="32">
      <c r="A32" s="14" t="inlineStr">
        <is>
          <t>Huurovereenkomst Bijster 5 te Breda getekend.pdf</t>
        </is>
      </c>
      <c r="B32" s="21" t="inlineStr">
        <is>
          <t>31/12/2030</t>
        </is>
      </c>
      <c r="C32" s="22" t="inlineStr">
        <is>
          <t>31/12/2030</t>
        </is>
      </c>
      <c r="D32" s="14" t="inlineStr">
        <is>
          <t>TP</t>
        </is>
      </c>
      <c r="E32" s="14" t="n"/>
      <c r="F32" s="14" t="n"/>
      <c r="G32" s="14" t="n"/>
      <c r="H32" s="14" t="n">
        <v>0.9743589743589743</v>
      </c>
    </row>
    <row r="33">
      <c r="A33" s="14" t="inlineStr">
        <is>
          <t>Huurovereenkomst Catena Pand Son - Skymark (Son en Breugel - NLD).pdf</t>
        </is>
      </c>
      <c r="B33" s="21" t="inlineStr">
        <is>
          <t>30/04/2024</t>
        </is>
      </c>
      <c r="C33" s="22" t="inlineStr">
        <is>
          <t>30/04/2024</t>
        </is>
      </c>
      <c r="D33" s="14" t="inlineStr">
        <is>
          <t>TP</t>
        </is>
      </c>
      <c r="E33" s="14" t="n"/>
      <c r="F33" s="14" t="n"/>
      <c r="G33" s="14" t="n"/>
      <c r="H33" s="14" t="n">
        <v>0.9845590159644072</v>
      </c>
    </row>
    <row r="34">
      <c r="A34" s="14" t="inlineStr">
        <is>
          <t>Huurovereenkomst KPN Opstelpunt Parallelweg 64 20130313.pdf</t>
        </is>
      </c>
      <c r="B34" s="21" t="inlineStr">
        <is>
          <t>31/10/2030</t>
        </is>
      </c>
      <c r="C34" s="22" t="inlineStr">
        <is>
          <t>31/10/2030</t>
        </is>
      </c>
      <c r="D34" s="14" t="inlineStr">
        <is>
          <t>TP</t>
        </is>
      </c>
      <c r="E34" s="14" t="n"/>
      <c r="F34" s="14" t="n"/>
      <c r="G34" s="14" t="n"/>
      <c r="H34" s="14" t="n">
        <v>0.9845590159644072</v>
      </c>
    </row>
    <row r="35">
      <c r="A35" s="14" t="inlineStr">
        <is>
          <t>Huurovereenkomst PBG Parallelweg 64 (beg.grond) 20121008.pdf</t>
        </is>
      </c>
      <c r="B35" s="21" t="inlineStr">
        <is>
          <t>30/09/2017</t>
        </is>
      </c>
      <c r="C35" s="22" t="inlineStr">
        <is>
          <t>30/09/2017</t>
        </is>
      </c>
      <c r="D35" s="14" t="inlineStr">
        <is>
          <t>TP</t>
        </is>
      </c>
      <c r="E35" s="14" t="n"/>
      <c r="F35" s="14" t="n"/>
      <c r="G35" s="14" t="n"/>
      <c r="H35" s="14" t="n">
        <v>0.9845590159644072</v>
      </c>
    </row>
    <row r="36">
      <c r="A36" s="14" t="inlineStr">
        <is>
          <t>MWO CBRE SPA (ITALY) CBRE_090724.pdf</t>
        </is>
      </c>
      <c r="B36" s="21" t="n"/>
      <c r="C36" s="22"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36"/>
  <sheetViews>
    <sheetView zoomScale="80" zoomScaleNormal="80" workbookViewId="0">
      <pane ySplit="1" topLeftCell="A2" activePane="bottomLeft" state="frozen"/>
      <selection pane="bottomLeft" activeCell="D36" sqref="D36"/>
    </sheetView>
  </sheetViews>
  <sheetFormatPr baseColWidth="8" defaultRowHeight="14.4"/>
  <cols>
    <col width="123" bestFit="1" customWidth="1" min="1" max="1"/>
    <col width="12.33203125" bestFit="1" customWidth="1" min="2" max="2"/>
    <col width="14.109375" bestFit="1" customWidth="1" min="3" max="3"/>
    <col width="6.5546875" bestFit="1" customWidth="1" min="4" max="4"/>
    <col width="14.5546875" customWidth="1" min="5" max="5"/>
    <col width="15.109375" bestFit="1" customWidth="1" min="6" max="6"/>
    <col width="9.109375" bestFit="1" customWidth="1" min="7" max="7"/>
    <col width="12.6640625" bestFit="1" customWidth="1" min="8" max="8"/>
    <col width="28.21875" customWidth="1" min="11" max="11"/>
    <col width="34.88671875" bestFit="1" customWidth="1" min="12" max="12"/>
    <col width="6.5546875" bestFit="1" customWidth="1" min="13" max="13"/>
    <col width="27.6640625" bestFit="1" customWidth="1" min="14" max="14"/>
    <col width="10.6640625" bestFit="1"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32" t="n">
        <v>43202</v>
      </c>
      <c r="C2" s="33" t="inlineStr">
        <is>
          <t>26/11/2010</t>
        </is>
      </c>
      <c r="D2" s="26" t="inlineStr">
        <is>
          <t>FP</t>
        </is>
      </c>
      <c r="E2" s="27" t="n"/>
      <c r="F2" s="14" t="n"/>
      <c r="G2" s="14" t="n"/>
      <c r="H2" s="14" t="n">
        <v>0.9458272327964862</v>
      </c>
      <c r="K2" s="16" t="inlineStr">
        <is>
          <t>Metrics</t>
        </is>
      </c>
      <c r="L2" s="16" t="inlineStr">
        <is>
          <t>Percentage</t>
        </is>
      </c>
      <c r="N2" s="16" t="inlineStr">
        <is>
          <t>Metrics</t>
        </is>
      </c>
      <c r="O2" s="16" t="inlineStr">
        <is>
          <t>Percentage</t>
        </is>
      </c>
    </row>
    <row r="3">
      <c r="A3" s="14" t="inlineStr">
        <is>
          <t>2024.10.30_Office Rental Agreement Labs_Gruyter Fabriek.pdf</t>
        </is>
      </c>
      <c r="B3" s="30" t="inlineStr">
        <is>
          <t>30/10/2024</t>
        </is>
      </c>
      <c r="C3" s="31" t="inlineStr">
        <is>
          <t>30/10/2024</t>
        </is>
      </c>
      <c r="D3" s="14" t="inlineStr">
        <is>
          <t>TP</t>
        </is>
      </c>
      <c r="E3" s="28" t="n"/>
      <c r="F3" s="14" t="n"/>
      <c r="G3" s="14" t="n"/>
      <c r="H3" s="14" t="n">
        <v>0.9458272327964862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29" t="n">
        <v>45449</v>
      </c>
      <c r="C4" s="31" t="inlineStr">
        <is>
          <t>06/06/2024</t>
        </is>
      </c>
      <c r="D4" s="14" t="inlineStr">
        <is>
          <t>TP</t>
        </is>
      </c>
      <c r="E4" s="27" t="n"/>
      <c r="F4" s="14" t="n"/>
      <c r="G4" s="14" t="n"/>
      <c r="H4" s="14" t="n">
        <v>0.955435708203236</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30" t="inlineStr">
        <is>
          <t>29/01/2025</t>
        </is>
      </c>
      <c r="C5" s="31" t="inlineStr">
        <is>
          <t>29/01/2025</t>
        </is>
      </c>
      <c r="D5" s="14" t="inlineStr">
        <is>
          <t>TP</t>
        </is>
      </c>
      <c r="E5" s="28" t="n"/>
      <c r="F5" s="14" t="n"/>
      <c r="G5" s="14" t="n"/>
      <c r="H5" s="14" t="n">
        <v>0.9530892448512585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30" t="inlineStr">
        <is>
          <t>16/12/2025</t>
        </is>
      </c>
      <c r="C6" s="31" t="inlineStr">
        <is>
          <t>16/12/2025</t>
        </is>
      </c>
      <c r="D6" s="14" t="inlineStr">
        <is>
          <t>TP</t>
        </is>
      </c>
      <c r="E6" s="28" t="n"/>
      <c r="F6" s="14" t="n"/>
      <c r="G6" s="14" t="n"/>
      <c r="H6" s="14" t="n">
        <v>0.9530892448512585</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30" t="inlineStr">
        <is>
          <t>20/02/2026</t>
        </is>
      </c>
      <c r="C7" s="31" t="inlineStr">
        <is>
          <t>20/02/2026</t>
        </is>
      </c>
      <c r="D7" s="14" t="inlineStr">
        <is>
          <t>TP</t>
        </is>
      </c>
      <c r="E7" s="28" t="n"/>
      <c r="F7" s="14" t="n"/>
      <c r="G7" s="14" t="n"/>
      <c r="H7" s="14" t="n">
        <v>0.8470588235294118</v>
      </c>
      <c r="K7" s="17" t="inlineStr">
        <is>
          <t>Total Docs Tested</t>
        </is>
      </c>
      <c r="L7" s="19">
        <f>COUNTA(A2:A36)</f>
        <v/>
      </c>
      <c r="N7" s="17" t="inlineStr">
        <is>
          <t>Total Docs Tested</t>
        </is>
      </c>
      <c r="O7" s="19">
        <f>COUNTA(A2:A36)</f>
        <v/>
      </c>
    </row>
    <row r="8">
      <c r="A8" s="14" t="inlineStr">
        <is>
          <t>20260629 HOK ADHDcentraal BV (1).pdf</t>
        </is>
      </c>
      <c r="B8" s="30" t="inlineStr">
        <is>
          <t>23/07/2026</t>
        </is>
      </c>
      <c r="C8" s="31" t="inlineStr">
        <is>
          <t>23/07/2026</t>
        </is>
      </c>
      <c r="D8" s="14" t="inlineStr">
        <is>
          <t>TP</t>
        </is>
      </c>
      <c r="E8" s="28" t="n"/>
      <c r="F8" s="14" t="n"/>
      <c r="G8" s="14" t="n"/>
      <c r="H8" s="14" t="n">
        <v>0.9530892448512585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30" t="inlineStr">
        <is>
          <t>19/08/2026</t>
        </is>
      </c>
      <c r="C9" s="31" t="inlineStr">
        <is>
          <t>19/08/2026</t>
        </is>
      </c>
      <c r="D9" s="14" t="inlineStr">
        <is>
          <t>TP</t>
        </is>
      </c>
      <c r="E9" s="28" t="n"/>
      <c r="F9" s="14" t="n"/>
      <c r="G9" s="14" t="n"/>
      <c r="H9" s="14" t="n">
        <v>0.9458272327964862</v>
      </c>
      <c r="K9" s="17" t="inlineStr">
        <is>
          <t>No Of Docs With Response</t>
        </is>
      </c>
      <c r="L9" s="19">
        <f>COUNTIFS(C2:C36,"&lt;&gt;")</f>
        <v/>
      </c>
      <c r="N9" s="17" t="inlineStr">
        <is>
          <t>No Of Docs With Response Pg</t>
        </is>
      </c>
      <c r="O9" s="19">
        <f>COUNTIFS(F2:F36,"&lt;&gt;")</f>
        <v/>
      </c>
    </row>
    <row r="10">
      <c r="A10" s="14" t="inlineStr">
        <is>
          <t>20260810 HOK ClustR BV.pdf</t>
        </is>
      </c>
      <c r="B10" s="30" t="inlineStr">
        <is>
          <t>13/08/2026</t>
        </is>
      </c>
      <c r="C10" s="31" t="inlineStr">
        <is>
          <t>13/08/2026</t>
        </is>
      </c>
      <c r="D10" s="14" t="inlineStr">
        <is>
          <t>TP</t>
        </is>
      </c>
      <c r="E10" s="28" t="n"/>
      <c r="F10" s="14" t="n"/>
      <c r="G10" s="14" t="n"/>
      <c r="H10" s="14" t="n">
        <v>0.9458272327964862</v>
      </c>
      <c r="K10" s="20" t="inlineStr">
        <is>
          <t>Highlighted rows = file(s) not in the annotation sheet; excluded from all metrics above.</t>
        </is>
      </c>
    </row>
    <row r="11">
      <c r="A11" s="14" t="inlineStr">
        <is>
          <t>20270801 - Getekende Allonge II Advario BV.pdf</t>
        </is>
      </c>
      <c r="B11" s="29" t="inlineStr">
        <is>
          <t>01/09/2026</t>
        </is>
      </c>
      <c r="C11" s="31" t="inlineStr">
        <is>
          <t>01/09/2026</t>
        </is>
      </c>
      <c r="D11" s="14" t="inlineStr">
        <is>
          <t>TP</t>
        </is>
      </c>
      <c r="E11" s="27" t="inlineStr">
        <is>
          <t>7</t>
        </is>
      </c>
      <c r="F11" s="14" t="n"/>
      <c r="G11" s="14" t="n"/>
      <c r="H11" s="14" t="n">
        <v>0.9482858803021499</v>
      </c>
      <c r="K11" s="17" t="inlineStr">
        <is>
          <t>Validation Rules Example</t>
        </is>
      </c>
    </row>
    <row r="12">
      <c r="A12" s="14" t="inlineStr">
        <is>
          <t>240119 HOVK Spoorlaan 446-448 Tilburg signed.pdf</t>
        </is>
      </c>
      <c r="B12" s="32" t="n">
        <v>45600</v>
      </c>
      <c r="C12" s="33" t="inlineStr">
        <is>
          <t>17/01/2024</t>
        </is>
      </c>
      <c r="D12" s="26" t="inlineStr">
        <is>
          <t>FP</t>
        </is>
      </c>
      <c r="E12" s="27" t="n"/>
      <c r="F12" s="14" t="n"/>
      <c r="G12" s="14" t="n"/>
      <c r="H12" s="14" t="n">
        <v>0.8470588235294118</v>
      </c>
      <c r="K12" s="16" t="inlineStr">
        <is>
          <t>Manual Data</t>
        </is>
      </c>
      <c r="L12" s="16" t="inlineStr">
        <is>
          <t>Response Data</t>
        </is>
      </c>
      <c r="M12" s="16" t="inlineStr">
        <is>
          <t>Result</t>
        </is>
      </c>
    </row>
    <row r="13">
      <c r="A13" s="14" t="inlineStr">
        <is>
          <t>27001 Rijksvastgoedbedrijf Huurovereenkomst - __27-01-2026_9-07-56.pdf</t>
        </is>
      </c>
      <c r="B13" s="29" t="n">
        <v>43750</v>
      </c>
      <c r="C13" s="29" t="n">
        <v>43750</v>
      </c>
      <c r="D13" s="14" t="inlineStr">
        <is>
          <t>TP</t>
        </is>
      </c>
      <c r="E13" s="27" t="n"/>
      <c r="F13" s="14" t="n"/>
      <c r="G13" s="14" t="n"/>
      <c r="H13" s="14" t="n">
        <v>0.8470588235294118</v>
      </c>
      <c r="K13" t="n">
        <v>100</v>
      </c>
      <c r="L13" t="n">
        <v>100</v>
      </c>
      <c r="M13" t="inlineStr">
        <is>
          <t>TP</t>
        </is>
      </c>
    </row>
    <row r="14">
      <c r="A14" s="14" t="inlineStr">
        <is>
          <t>CBRE_AT_Services_ENG_-_RITUALS_CBRE signed.pdf</t>
        </is>
      </c>
      <c r="B14" s="29" t="n">
        <v>44540</v>
      </c>
      <c r="C14" s="31" t="inlineStr">
        <is>
          <t>11/10/2021</t>
        </is>
      </c>
      <c r="D14" s="14" t="inlineStr">
        <is>
          <t>TP</t>
        </is>
      </c>
      <c r="E14" s="27" t="n"/>
      <c r="F14" s="14" t="n"/>
      <c r="G14" s="14" t="n"/>
      <c r="H14" s="14" t="n">
        <v>0.9530892448512585</v>
      </c>
      <c r="L14" t="n">
        <v>100</v>
      </c>
      <c r="M14" t="inlineStr">
        <is>
          <t>FP</t>
        </is>
      </c>
    </row>
    <row r="15">
      <c r="A15" s="14" t="inlineStr">
        <is>
          <t>CBRE_Engagement_Letter_Alnylam_20260525_CLEAN_Version_signed all.pdf</t>
        </is>
      </c>
      <c r="B15" s="29" t="n">
        <v>46087</v>
      </c>
      <c r="C15" s="31" t="inlineStr">
        <is>
          <t>03/06/2026</t>
        </is>
      </c>
      <c r="D15" s="14" t="inlineStr">
        <is>
          <t>TP</t>
        </is>
      </c>
      <c r="E15" s="27" t="n"/>
      <c r="F15" s="14" t="n"/>
      <c r="G15" s="14" t="n"/>
      <c r="H15" s="14" t="n">
        <v>0.955435708203236</v>
      </c>
      <c r="K15" t="n">
        <v>100</v>
      </c>
      <c r="L15" t="n">
        <v>200</v>
      </c>
      <c r="M15" t="inlineStr">
        <is>
          <t>FP</t>
        </is>
      </c>
    </row>
    <row r="16">
      <c r="A16" s="14" t="inlineStr">
        <is>
          <t>COMPL DEF Huurovereenkomst - Skybox - Pepperl+Fuchs - 20260204.pdf</t>
        </is>
      </c>
      <c r="B16" s="29" t="n">
        <v>46328</v>
      </c>
      <c r="C16" s="31" t="inlineStr">
        <is>
          <t>02/11/2026</t>
        </is>
      </c>
      <c r="D16" s="14" t="inlineStr">
        <is>
          <t>TP</t>
        </is>
      </c>
      <c r="E16" s="27" t="n"/>
      <c r="F16" s="14" t="n"/>
      <c r="G16" s="14" t="n"/>
      <c r="H16" s="14" t="n">
        <v>0.7914489311163896</v>
      </c>
      <c r="K16" t="n">
        <v>100</v>
      </c>
      <c r="M16" t="inlineStr">
        <is>
          <t>FN</t>
        </is>
      </c>
    </row>
    <row r="17">
      <c r="A17" s="14" t="inlineStr">
        <is>
          <t>COMPL Huurovereenkomst - Stichting CCE - Kantoorgebouw Metzpoint I Dr. Holtroplaan - Fully Signed.pdf</t>
        </is>
      </c>
      <c r="B17" s="30" t="inlineStr">
        <is>
          <t>20/03/2025</t>
        </is>
      </c>
      <c r="C17" s="31" t="inlineStr">
        <is>
          <t>20/03/2025</t>
        </is>
      </c>
      <c r="D17" s="14" t="inlineStr">
        <is>
          <t>TP</t>
        </is>
      </c>
      <c r="E17" s="28" t="n"/>
      <c r="F17" s="14" t="n"/>
      <c r="G17" s="14" t="n"/>
      <c r="H17" s="14" t="n">
        <v>0.9530892448512585</v>
      </c>
      <c r="M17" t="inlineStr">
        <is>
          <t>TN</t>
        </is>
      </c>
    </row>
    <row r="18">
      <c r="A18" s="14" t="inlineStr">
        <is>
          <t>COMPL Regel Partners - HOVK - Luchthavenweg 81 - 20260728.pdf</t>
        </is>
      </c>
      <c r="B18" s="34" t="inlineStr">
        <is>
          <t>28/07/2026</t>
        </is>
      </c>
      <c r="C18" s="33" t="n"/>
      <c r="D18" s="26" t="inlineStr">
        <is>
          <t>FP</t>
        </is>
      </c>
      <c r="E18" s="28" t="n"/>
      <c r="F18" s="14" t="n"/>
      <c r="G18" s="14" t="n"/>
      <c r="H18" s="14" t="n"/>
    </row>
    <row r="19">
      <c r="A19" s="14" t="inlineStr">
        <is>
          <t>COMPL_-_Onderhuurovereenkomst_Zelfstroom_B.V._-_50five_B.V._-_kantoorgebouw_Riva_-_05032026.pdf</t>
        </is>
      </c>
      <c r="B19" s="29" t="n">
        <v>46329</v>
      </c>
      <c r="C19" s="31" t="inlineStr">
        <is>
          <t>03/11/2026</t>
        </is>
      </c>
      <c r="D19" s="14" t="inlineStr">
        <is>
          <t>TP</t>
        </is>
      </c>
      <c r="E19" s="27" t="n"/>
      <c r="F19" s="14" t="n"/>
      <c r="G19" s="14" t="n"/>
      <c r="H19" s="14" t="n">
        <v>0.9458272327964862</v>
      </c>
      <c r="K19" s="17" t="inlineStr">
        <is>
          <t>Field:</t>
        </is>
      </c>
      <c r="L19" t="inlineStr">
        <is>
          <t>Terms / Arrangement_Signed_Date</t>
        </is>
      </c>
    </row>
    <row r="20">
      <c r="A20" s="14" t="inlineStr">
        <is>
          <t>Den Bosch, Ruwekampweg 4, HOVK getekend.pdf</t>
        </is>
      </c>
      <c r="B20" s="30" t="inlineStr">
        <is>
          <t>29/06/2016</t>
        </is>
      </c>
      <c r="C20" s="31" t="inlineStr">
        <is>
          <t>29/06/2016</t>
        </is>
      </c>
      <c r="D20" s="14" t="inlineStr">
        <is>
          <t>TP</t>
        </is>
      </c>
      <c r="E20" s="28" t="n"/>
      <c r="F20" s="14" t="n"/>
      <c r="G20" s="14" t="n"/>
      <c r="H20" s="14" t="n">
        <v>0.8849162011173185</v>
      </c>
    </row>
    <row r="21">
      <c r="A21" s="14" t="inlineStr">
        <is>
          <t>FULLY SIGNED - COMPL Huurovereenkomst - Heijmans - Hugo de Grootlaan 23 's-Hertogenbosch V2 30-9-2025.pdf</t>
        </is>
      </c>
      <c r="B21" s="29" t="n">
        <v>45879</v>
      </c>
      <c r="C21" s="31" t="inlineStr">
        <is>
          <t>10/08/2025</t>
        </is>
      </c>
      <c r="D21" s="14" t="inlineStr">
        <is>
          <t>TP</t>
        </is>
      </c>
      <c r="E21" s="27" t="n"/>
      <c r="F21" s="14" t="n"/>
      <c r="G21" s="14" t="n"/>
      <c r="H21" s="14" t="n">
        <v>0.9329268292682927</v>
      </c>
    </row>
    <row r="22">
      <c r="A22" s="14" t="inlineStr">
        <is>
          <t>FULLY SIGNED - DEF_COMPL_Huurovereenkomst_Robo_Charge_-_Campus_Offices_-_20260220.pdf</t>
        </is>
      </c>
      <c r="B22" s="29" t="n">
        <v>46056</v>
      </c>
      <c r="C22" s="31" t="inlineStr">
        <is>
          <t>02/03/2026</t>
        </is>
      </c>
      <c r="D22" s="14" t="inlineStr">
        <is>
          <t>TP</t>
        </is>
      </c>
      <c r="E22" s="27" t="n"/>
      <c r="F22" s="14" t="n"/>
      <c r="G22" s="14" t="n"/>
      <c r="H22" s="14" t="n">
        <v>0.8972222222222223</v>
      </c>
    </row>
    <row r="23">
      <c r="A23" s="14" t="inlineStr">
        <is>
          <t>FULLY SIGNED - Onderhuurovereenkomst Aartshertogenlaan 223, `s-Hertogenbosch - Koning Willem I College B.V. 2606202.pdf</t>
        </is>
      </c>
      <c r="B23" s="29" t="n">
        <v>45845</v>
      </c>
      <c r="C23" s="31" t="inlineStr">
        <is>
          <t>07/07/2025</t>
        </is>
      </c>
      <c r="D23" s="14" t="inlineStr">
        <is>
          <t>TP</t>
        </is>
      </c>
      <c r="E23" s="27" t="n"/>
      <c r="F23" s="14" t="n"/>
      <c r="G23" s="14" t="n"/>
      <c r="H23" s="14" t="n">
        <v>0.9458272327964862</v>
      </c>
    </row>
    <row r="24">
      <c r="A24" s="14" t="inlineStr">
        <is>
          <t>FULLY SIGNED COMPL_DEF_Huurovereenkomst_Bond_Bergschot_Breda.pdf</t>
        </is>
      </c>
      <c r="B24" s="30" t="inlineStr">
        <is>
          <t>21/05/2025</t>
        </is>
      </c>
      <c r="C24" s="31" t="inlineStr">
        <is>
          <t>21/05/2025</t>
        </is>
      </c>
      <c r="D24" s="14" t="inlineStr">
        <is>
          <t>TP</t>
        </is>
      </c>
      <c r="E24" s="28" t="n"/>
      <c r="F24" s="14" t="n"/>
      <c r="G24" s="14" t="n"/>
      <c r="H24" s="14" t="n">
        <v>0.9458272327964862</v>
      </c>
    </row>
    <row r="25">
      <c r="A25" s="14" t="inlineStr">
        <is>
          <t>FullySigned_Allonge_II_Virtual_Vaults_Nederland.pdf</t>
        </is>
      </c>
      <c r="B25" s="34" t="inlineStr">
        <is>
          <t>17/08/2026</t>
        </is>
      </c>
      <c r="C25" s="33" t="inlineStr">
        <is>
          <t>16/03/2023</t>
        </is>
      </c>
      <c r="D25" s="26" t="inlineStr">
        <is>
          <t>FP</t>
        </is>
      </c>
      <c r="E25" s="28" t="n"/>
      <c r="F25" s="14" t="n"/>
      <c r="G25" s="14" t="n"/>
      <c r="H25" s="14" t="n">
        <v>0.9530892448512585</v>
      </c>
    </row>
    <row r="26">
      <c r="A26" s="14" t="inlineStr">
        <is>
          <t>FullySigned_Lease_Agreement_Neste_EDGE_Coolsingel.pdf</t>
        </is>
      </c>
      <c r="B26" s="30" t="inlineStr">
        <is>
          <t>18/08/2026</t>
        </is>
      </c>
      <c r="C26" s="31" t="inlineStr">
        <is>
          <t>18/08/2026</t>
        </is>
      </c>
      <c r="D26" s="14" t="inlineStr">
        <is>
          <t>TP</t>
        </is>
      </c>
      <c r="E26" s="28" t="n"/>
      <c r="F26" s="14" t="n"/>
      <c r="G26" s="14" t="n"/>
      <c r="H26" s="14" t="n">
        <v>0.8</v>
      </c>
    </row>
    <row r="27">
      <c r="A27" s="14" t="inlineStr">
        <is>
          <t>HOK Waalhaven Group (signed).pdf</t>
        </is>
      </c>
      <c r="B27" s="29" t="n">
        <v>46059</v>
      </c>
      <c r="C27" s="31" t="inlineStr">
        <is>
          <t>02/06/2026</t>
        </is>
      </c>
      <c r="D27" s="14" t="inlineStr">
        <is>
          <t>TP</t>
        </is>
      </c>
      <c r="E27" s="27" t="n"/>
      <c r="F27" s="14" t="n"/>
      <c r="G27" s="14" t="n"/>
      <c r="H27" s="14" t="n">
        <v>0.9530892448512585</v>
      </c>
    </row>
    <row r="28">
      <c r="A28" s="14" t="inlineStr">
        <is>
          <t>Hovk Avans  (3e+4e+5e verd.) 20140425.pdf</t>
        </is>
      </c>
      <c r="B28" s="34" t="inlineStr">
        <is>
          <t>25/04/2014</t>
        </is>
      </c>
      <c r="C28" s="33" t="inlineStr">
        <is>
          <t>27/05/2014</t>
        </is>
      </c>
      <c r="D28" s="26" t="inlineStr">
        <is>
          <t>FP</t>
        </is>
      </c>
      <c r="E28" s="28" t="n"/>
      <c r="F28" s="14" t="n"/>
      <c r="G28" s="14" t="n"/>
      <c r="H28" s="14" t="n">
        <v>0.9389448725548312</v>
      </c>
    </row>
    <row r="29">
      <c r="A29" s="14" t="inlineStr">
        <is>
          <t>HOVK Power4People 2025.pdf</t>
        </is>
      </c>
      <c r="B29" s="30" t="inlineStr">
        <is>
          <t>24/06/2025</t>
        </is>
      </c>
      <c r="C29" s="31" t="inlineStr">
        <is>
          <t>24/06/2025</t>
        </is>
      </c>
      <c r="D29" s="14" t="inlineStr">
        <is>
          <t>TP</t>
        </is>
      </c>
      <c r="E29" s="28" t="n"/>
      <c r="F29" s="14" t="n"/>
      <c r="G29" s="14" t="n"/>
      <c r="H29" s="14" t="n">
        <v>0.9103825136612022</v>
      </c>
    </row>
    <row r="30">
      <c r="A30" s="14" t="inlineStr">
        <is>
          <t>Huurovereenkomst (Semmie Group B.V.) - Wilhelminasingel 19, Breda.pdf</t>
        </is>
      </c>
      <c r="B30" s="32" t="n">
        <v>46000</v>
      </c>
      <c r="C30" s="33" t="inlineStr">
        <is>
          <t>21/01/2026</t>
        </is>
      </c>
      <c r="D30" s="26" t="inlineStr">
        <is>
          <t>FP</t>
        </is>
      </c>
      <c r="E30" s="27" t="n"/>
      <c r="F30" s="14" t="n"/>
      <c r="G30" s="14" t="n"/>
      <c r="H30" s="14" t="n">
        <v>0.8986089644513139</v>
      </c>
    </row>
    <row r="31">
      <c r="A31" s="14" t="inlineStr">
        <is>
          <t>Huurovereenkomst - proces-verbaal van oplevering - sleuteloverdracht - Kennedyplein 101 - getekend.pdf</t>
        </is>
      </c>
      <c r="B31" s="30" t="inlineStr">
        <is>
          <t>21/05/2026</t>
        </is>
      </c>
      <c r="C31" s="31" t="inlineStr">
        <is>
          <t>21/05/2026</t>
        </is>
      </c>
      <c r="D31" s="14" t="inlineStr">
        <is>
          <t>TP</t>
        </is>
      </c>
      <c r="E31" s="28" t="n"/>
      <c r="F31" s="14" t="n"/>
      <c r="G31" s="14" t="n"/>
      <c r="H31" s="14" t="n">
        <v>0.9458272327964862</v>
      </c>
    </row>
    <row r="32">
      <c r="A32" s="14" t="inlineStr">
        <is>
          <t>Huurovereenkomst Bijster 5 te Breda getekend.pdf</t>
        </is>
      </c>
      <c r="B32" s="29" t="n">
        <v>45939</v>
      </c>
      <c r="C32" s="31" t="inlineStr">
        <is>
          <t>10/09/2025</t>
        </is>
      </c>
      <c r="D32" s="14" t="inlineStr">
        <is>
          <t>TP</t>
        </is>
      </c>
      <c r="E32" s="27" t="n"/>
      <c r="F32" s="14" t="n"/>
      <c r="G32" s="14" t="n"/>
      <c r="H32" s="14" t="n">
        <v>0.9458272327964862</v>
      </c>
    </row>
    <row r="33">
      <c r="A33" s="14" t="inlineStr">
        <is>
          <t>Huurovereenkomst Catena Pand Son - Skymark (Son en Breugel - NLD).pdf</t>
        </is>
      </c>
      <c r="B33" s="32" t="n">
        <v>41677</v>
      </c>
      <c r="C33" s="33" t="inlineStr">
        <is>
          <t>14/07/2014</t>
        </is>
      </c>
      <c r="D33" s="26" t="inlineStr">
        <is>
          <t>FP</t>
        </is>
      </c>
      <c r="E33" s="27" t="n"/>
      <c r="F33" s="14" t="n"/>
      <c r="G33" s="14" t="n"/>
      <c r="H33" s="14" t="n">
        <v>0.8458265139116202</v>
      </c>
    </row>
    <row r="34">
      <c r="A34" s="14" t="inlineStr">
        <is>
          <t>Huurovereenkomst KPN Opstelpunt Parallelweg 64 20130313.pdf</t>
        </is>
      </c>
      <c r="B34" s="30" t="inlineStr">
        <is>
          <t>13/03/2013</t>
        </is>
      </c>
      <c r="C34" s="31" t="inlineStr">
        <is>
          <t>13/03/2013</t>
        </is>
      </c>
      <c r="D34" s="14" t="inlineStr">
        <is>
          <t>TP</t>
        </is>
      </c>
      <c r="E34" s="28" t="n"/>
      <c r="F34" s="14" t="n"/>
      <c r="G34" s="14" t="n"/>
      <c r="H34" s="14" t="n">
        <v>0.7219263042685152</v>
      </c>
    </row>
    <row r="35">
      <c r="A35" s="14" t="inlineStr">
        <is>
          <t>Huurovereenkomst PBG Parallelweg 64 (beg.grond) 20121008.pdf</t>
        </is>
      </c>
      <c r="B35" s="32" t="n">
        <v>40918</v>
      </c>
      <c r="C35" s="33" t="inlineStr">
        <is>
          <t>17/06/2015</t>
        </is>
      </c>
      <c r="D35" s="26" t="inlineStr">
        <is>
          <t>FP</t>
        </is>
      </c>
      <c r="E35" s="27" t="n"/>
      <c r="F35" s="14" t="n"/>
      <c r="G35" s="14" t="n"/>
      <c r="H35" s="14" t="n">
        <v>0.8</v>
      </c>
    </row>
    <row r="36">
      <c r="A36" s="14" t="inlineStr">
        <is>
          <t>MWO CBRE SPA (ITALY) CBRE_090724.pdf</t>
        </is>
      </c>
      <c r="B36" s="30" t="inlineStr">
        <is>
          <t>24/09/2024</t>
        </is>
      </c>
      <c r="C36" s="31" t="inlineStr">
        <is>
          <t>24/09/2024</t>
        </is>
      </c>
      <c r="D36" s="14" t="inlineStr">
        <is>
          <t>TP</t>
        </is>
      </c>
      <c r="E36" s="28" t="n"/>
      <c r="F36" s="14" t="n"/>
      <c r="G36" s="14" t="n"/>
      <c r="H36" s="14" t="n">
        <v>0.955435708203236</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36"/>
  <sheetViews>
    <sheetView zoomScale="80" zoomScaleNormal="80" workbookViewId="0">
      <pane ySplit="1" topLeftCell="A2" activePane="bottomLeft" state="frozen"/>
      <selection pane="bottomLeft" activeCell="D14" sqref="D14"/>
    </sheetView>
  </sheetViews>
  <sheetFormatPr baseColWidth="8" defaultRowHeight="14.4"/>
  <cols>
    <col width="123" bestFit="1" customWidth="1" min="1" max="1"/>
    <col width="12.33203125" bestFit="1" customWidth="1" min="2" max="2"/>
    <col width="14.109375" bestFit="1" customWidth="1" min="3" max="3"/>
    <col width="6.5546875" bestFit="1" customWidth="1" min="4" max="4"/>
    <col width="10.21875" bestFit="1" customWidth="1" min="5" max="5"/>
    <col width="15.109375" bestFit="1" customWidth="1" min="6" max="6"/>
    <col width="9.109375" bestFit="1" customWidth="1" min="7" max="7"/>
    <col width="12.6640625" bestFit="1" customWidth="1" min="8" max="8"/>
    <col width="27.6640625" customWidth="1" min="11" max="11"/>
    <col width="32.77734375" bestFit="1" customWidth="1" min="12" max="12"/>
    <col width="6.5546875" bestFit="1" customWidth="1" min="13" max="13"/>
    <col width="27.6640625" bestFit="1" customWidth="1" min="14" max="14"/>
    <col width="10.6640625" bestFit="1"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5" t="inlineStr">
        <is>
          <t>01/01/2019</t>
        </is>
      </c>
      <c r="C2" s="15" t="inlineStr">
        <is>
          <t>01/01/2019</t>
        </is>
      </c>
      <c r="D2" s="14" t="inlineStr">
        <is>
          <t>TP</t>
        </is>
      </c>
      <c r="E2" s="14" t="n"/>
      <c r="F2" s="14" t="n"/>
      <c r="G2" s="14" t="n"/>
      <c r="H2" s="14" t="n">
        <v>0.9845590159644072</v>
      </c>
      <c r="K2" s="16" t="inlineStr">
        <is>
          <t>Metrics</t>
        </is>
      </c>
      <c r="L2" s="16" t="inlineStr">
        <is>
          <t>Percentage</t>
        </is>
      </c>
      <c r="N2" s="16" t="inlineStr">
        <is>
          <t>Metrics</t>
        </is>
      </c>
      <c r="O2" s="16" t="inlineStr">
        <is>
          <t>Percentage</t>
        </is>
      </c>
    </row>
    <row r="3">
      <c r="A3" s="14" t="inlineStr">
        <is>
          <t>2024.10.30_Office Rental Agreement Labs_Gruyter Fabriek.pdf</t>
        </is>
      </c>
      <c r="B3" s="15" t="inlineStr">
        <is>
          <t>01/01/2025</t>
        </is>
      </c>
      <c r="C3" s="15" t="inlineStr">
        <is>
          <t>01/01/2025</t>
        </is>
      </c>
      <c r="D3" s="14" t="inlineStr">
        <is>
          <t>TP</t>
        </is>
      </c>
      <c r="E3" s="14" t="n"/>
      <c r="F3" s="14" t="n"/>
      <c r="G3" s="14" t="n"/>
      <c r="H3" s="14" t="n">
        <v>0.9743589743589743</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5" t="inlineStr">
        <is>
          <t>01/07/2026</t>
        </is>
      </c>
      <c r="C4" s="15" t="inlineStr">
        <is>
          <t>01/07/2026</t>
        </is>
      </c>
      <c r="D4" s="14" t="inlineStr">
        <is>
          <t>TP</t>
        </is>
      </c>
      <c r="E4" s="14" t="n"/>
      <c r="F4" s="14" t="n"/>
      <c r="G4" s="14" t="n"/>
      <c r="H4" s="14" t="n">
        <v>0.9743589743589743</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5" t="inlineStr">
        <is>
          <t>17/02/2025</t>
        </is>
      </c>
      <c r="C5" s="15" t="inlineStr">
        <is>
          <t>17/02/2025</t>
        </is>
      </c>
      <c r="D5" s="14" t="inlineStr">
        <is>
          <t>TP</t>
        </is>
      </c>
      <c r="E5" s="14" t="n"/>
      <c r="F5" s="14" t="n"/>
      <c r="G5" s="14" t="n"/>
      <c r="H5" s="14" t="n">
        <v>0.9820675105485231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5" t="inlineStr">
        <is>
          <t>01/05/2025</t>
        </is>
      </c>
      <c r="C6" s="15" t="inlineStr">
        <is>
          <t>01/05/2025</t>
        </is>
      </c>
      <c r="D6" s="14" t="inlineStr">
        <is>
          <t>TP</t>
        </is>
      </c>
      <c r="E6" s="14" t="n"/>
      <c r="F6" s="14" t="n"/>
      <c r="G6" s="14" t="n"/>
      <c r="H6" s="14" t="n">
        <v>0.9743589743589743</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5" t="inlineStr">
        <is>
          <t>01/03/2026</t>
        </is>
      </c>
      <c r="C7" s="15" t="inlineStr">
        <is>
          <t>01/03/2026</t>
        </is>
      </c>
      <c r="D7" s="14" t="inlineStr">
        <is>
          <t>TP</t>
        </is>
      </c>
      <c r="E7" s="14" t="n"/>
      <c r="F7" s="14" t="n"/>
      <c r="G7" s="14" t="n"/>
      <c r="H7" s="14" t="n">
        <v>0.9743589743589743</v>
      </c>
      <c r="K7" s="17" t="inlineStr">
        <is>
          <t>Total Docs Tested</t>
        </is>
      </c>
      <c r="L7" s="19">
        <f>COUNTA(A2:A36)</f>
        <v/>
      </c>
      <c r="N7" s="17" t="inlineStr">
        <is>
          <t>Total Docs Tested</t>
        </is>
      </c>
      <c r="O7" s="19">
        <f>COUNTA(A2:A36)</f>
        <v/>
      </c>
    </row>
    <row r="8">
      <c r="A8" s="14" t="inlineStr">
        <is>
          <t>20260629 HOK ADHDcentraal BV (1).pdf</t>
        </is>
      </c>
      <c r="B8" s="15" t="inlineStr">
        <is>
          <t>01/09/2026</t>
        </is>
      </c>
      <c r="C8" s="15" t="inlineStr">
        <is>
          <t>01/09/2026</t>
        </is>
      </c>
      <c r="D8" s="14" t="inlineStr">
        <is>
          <t>TP</t>
        </is>
      </c>
      <c r="E8" s="14" t="n"/>
      <c r="F8" s="14" t="n"/>
      <c r="G8" s="14" t="n"/>
      <c r="H8" s="14" t="n">
        <v>0.9845590159644072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5" t="inlineStr">
        <is>
          <t>01/01/2027</t>
        </is>
      </c>
      <c r="C9" s="15" t="inlineStr">
        <is>
          <t>01/01/2027</t>
        </is>
      </c>
      <c r="D9" s="14" t="inlineStr">
        <is>
          <t>TP</t>
        </is>
      </c>
      <c r="E9" s="14" t="n"/>
      <c r="F9" s="14" t="n"/>
      <c r="G9" s="14" t="n"/>
      <c r="H9" s="14" t="n">
        <v>0.9845590159644072</v>
      </c>
      <c r="K9" s="17" t="inlineStr">
        <is>
          <t>No Of Docs With Response</t>
        </is>
      </c>
      <c r="L9" s="19">
        <f>COUNTIFS(C2:C36,"&lt;&gt;")</f>
        <v/>
      </c>
      <c r="N9" s="17" t="inlineStr">
        <is>
          <t>No Of Docs With Response Pg</t>
        </is>
      </c>
      <c r="O9" s="19">
        <f>COUNTIFS(F2:F36,"&lt;&gt;")</f>
        <v/>
      </c>
    </row>
    <row r="10">
      <c r="A10" s="14" t="inlineStr">
        <is>
          <t>20260810 HOK ClustR BV.pdf</t>
        </is>
      </c>
      <c r="B10" s="15" t="inlineStr">
        <is>
          <t>01/10/2026</t>
        </is>
      </c>
      <c r="C10" s="15" t="inlineStr">
        <is>
          <t>01/10/2026</t>
        </is>
      </c>
      <c r="D10" s="14" t="inlineStr">
        <is>
          <t>TP</t>
        </is>
      </c>
      <c r="E10" s="14" t="n"/>
      <c r="F10" s="14" t="n"/>
      <c r="G10" s="14" t="n"/>
      <c r="H10" s="14" t="n">
        <v>0.9820675105485231</v>
      </c>
      <c r="K10" s="20" t="inlineStr">
        <is>
          <t>Highlighted rows = file(s) not in the annotation sheet; excluded from all metrics above.</t>
        </is>
      </c>
    </row>
    <row r="11">
      <c r="A11" s="14" t="inlineStr">
        <is>
          <t>20270801 - Getekende Allonge II Advario BV.pdf</t>
        </is>
      </c>
      <c r="B11" s="15" t="inlineStr">
        <is>
          <t>01/08/2022</t>
        </is>
      </c>
      <c r="C11" s="15" t="inlineStr">
        <is>
          <t>01/08/2022</t>
        </is>
      </c>
      <c r="D11" s="14" t="inlineStr">
        <is>
          <t>TP</t>
        </is>
      </c>
      <c r="E11" s="14" t="n"/>
      <c r="F11" s="14" t="n"/>
      <c r="G11" s="14" t="n"/>
      <c r="H11" s="14" t="n">
        <v>0.9334987593052109</v>
      </c>
      <c r="K11" s="17" t="inlineStr">
        <is>
          <t>Validation Rules Example</t>
        </is>
      </c>
    </row>
    <row r="12">
      <c r="A12" s="14" t="inlineStr">
        <is>
          <t>240119 HOVK Spoorlaan 446-448 Tilburg signed.pdf</t>
        </is>
      </c>
      <c r="B12" s="15" t="inlineStr">
        <is>
          <t>01/04/2024</t>
        </is>
      </c>
      <c r="C12" s="15" t="inlineStr">
        <is>
          <t>01/04/2024</t>
        </is>
      </c>
      <c r="D12" s="14" t="inlineStr">
        <is>
          <t>TP</t>
        </is>
      </c>
      <c r="E12" s="14" t="n"/>
      <c r="F12" s="14" t="n"/>
      <c r="G12" s="14" t="n"/>
      <c r="H12" s="14" t="n">
        <v>0.9743589743589743</v>
      </c>
      <c r="K12" s="16" t="inlineStr">
        <is>
          <t>Manual Data</t>
        </is>
      </c>
      <c r="L12" s="16" t="inlineStr">
        <is>
          <t>Response Data</t>
        </is>
      </c>
      <c r="M12" s="16" t="inlineStr">
        <is>
          <t>Result</t>
        </is>
      </c>
    </row>
    <row r="13">
      <c r="A13" s="14" t="inlineStr">
        <is>
          <t>27001 Rijksvastgoedbedrijf Huurovereenkomst - __27-01-2026_9-07-56.pdf</t>
        </is>
      </c>
      <c r="B13" s="15" t="inlineStr">
        <is>
          <t>01/09/2019</t>
        </is>
      </c>
      <c r="C13" s="15" t="inlineStr">
        <is>
          <t>01/09/2019</t>
        </is>
      </c>
      <c r="D13" s="14" t="inlineStr">
        <is>
          <t>TP</t>
        </is>
      </c>
      <c r="E13" s="14" t="n"/>
      <c r="F13" s="14" t="n"/>
      <c r="G13" s="14" t="n"/>
      <c r="H13" s="14" t="n">
        <v>0.9743589743589743</v>
      </c>
      <c r="K13" t="n">
        <v>100</v>
      </c>
      <c r="L13" t="n">
        <v>100</v>
      </c>
      <c r="M13" t="inlineStr">
        <is>
          <t>TP</t>
        </is>
      </c>
    </row>
    <row r="14">
      <c r="A14" s="14" t="inlineStr">
        <is>
          <t>CBRE_AT_Services_ENG_-_RITUALS_CBRE signed.pdf</t>
        </is>
      </c>
      <c r="B14" s="35" t="inlineStr">
        <is>
          <t>i dont know</t>
        </is>
      </c>
      <c r="C14" s="36" t="n"/>
      <c r="D14" s="26" t="inlineStr">
        <is>
          <t>FN</t>
        </is>
      </c>
      <c r="E14" s="14" t="n"/>
      <c r="F14" s="14" t="n"/>
      <c r="G14" s="14" t="n"/>
      <c r="H14" s="14" t="n"/>
      <c r="L14" t="n">
        <v>100</v>
      </c>
      <c r="M14" t="inlineStr">
        <is>
          <t>FP</t>
        </is>
      </c>
    </row>
    <row r="15">
      <c r="A15" s="14" t="inlineStr">
        <is>
          <t>CBRE_Engagement_Letter_Alnylam_20260525_CLEAN_Version_signed all.pdf</t>
        </is>
      </c>
      <c r="B15" s="15" t="inlineStr">
        <is>
          <t>03/06/2026</t>
        </is>
      </c>
      <c r="C15" s="15" t="inlineStr">
        <is>
          <t>03/06/2026</t>
        </is>
      </c>
      <c r="D15" s="14" t="inlineStr">
        <is>
          <t>TP</t>
        </is>
      </c>
      <c r="E15" s="14" t="n"/>
      <c r="F15" s="14" t="n"/>
      <c r="G15" s="14" t="n"/>
      <c r="H15" s="14" t="n">
        <v>0.8972222222222223</v>
      </c>
      <c r="K15" t="n">
        <v>100</v>
      </c>
      <c r="L15" t="n">
        <v>200</v>
      </c>
      <c r="M15" t="inlineStr">
        <is>
          <t>FP</t>
        </is>
      </c>
    </row>
    <row r="16">
      <c r="A16" s="14" t="inlineStr">
        <is>
          <t>COMPL DEF Huurovereenkomst - Skybox - Pepperl+Fuchs - 20260204.pdf</t>
        </is>
      </c>
      <c r="B16" s="15" t="inlineStr">
        <is>
          <t>01/12/2026</t>
        </is>
      </c>
      <c r="C16" s="15" t="inlineStr">
        <is>
          <t>01/12/2026</t>
        </is>
      </c>
      <c r="D16" s="14" t="inlineStr">
        <is>
          <t>TP</t>
        </is>
      </c>
      <c r="E16" s="14" t="n"/>
      <c r="F16" s="14" t="n"/>
      <c r="G16" s="14" t="n"/>
      <c r="H16" s="14" t="n">
        <v>0.9743589743589743</v>
      </c>
      <c r="K16" t="n">
        <v>100</v>
      </c>
      <c r="M16" t="inlineStr">
        <is>
          <t>FN</t>
        </is>
      </c>
    </row>
    <row r="17">
      <c r="A17" s="14" t="inlineStr">
        <is>
          <t>COMPL Huurovereenkomst - Stichting CCE - Kantoorgebouw Metzpoint I Dr. Holtroplaan - Fully Signed.pdf</t>
        </is>
      </c>
      <c r="B17" s="15" t="inlineStr">
        <is>
          <t>01/05/2025</t>
        </is>
      </c>
      <c r="C17" s="15" t="inlineStr">
        <is>
          <t>01/05/2025</t>
        </is>
      </c>
      <c r="D17" s="14" t="inlineStr">
        <is>
          <t>TP</t>
        </is>
      </c>
      <c r="E17" s="14" t="n"/>
      <c r="F17" s="14" t="n"/>
      <c r="G17" s="14" t="n"/>
      <c r="H17" s="14" t="n">
        <v>0.9845590159644072</v>
      </c>
      <c r="M17" t="inlineStr">
        <is>
          <t>TN</t>
        </is>
      </c>
    </row>
    <row r="18">
      <c r="A18" s="14" t="inlineStr">
        <is>
          <t>COMPL Regel Partners - HOVK - Luchthavenweg 81 - 20260728.pdf</t>
        </is>
      </c>
      <c r="B18" s="15" t="inlineStr">
        <is>
          <t>01/10/2026</t>
        </is>
      </c>
      <c r="C18" s="15" t="inlineStr">
        <is>
          <t>01/10/2026</t>
        </is>
      </c>
      <c r="D18" s="14" t="inlineStr">
        <is>
          <t>TP</t>
        </is>
      </c>
      <c r="E18" s="14" t="n"/>
      <c r="F18" s="14" t="n"/>
      <c r="G18" s="14" t="n"/>
      <c r="H18" s="14" t="n">
        <v>0.9845590159644072</v>
      </c>
    </row>
    <row r="19">
      <c r="A19" s="14" t="inlineStr">
        <is>
          <t>COMPL_-_Onderhuurovereenkomst_Zelfstroom_B.V._-_50five_B.V._-_kantoorgebouw_Riva_-_05032026.pdf</t>
        </is>
      </c>
      <c r="B19" s="15" t="inlineStr">
        <is>
          <t>01/04/2026</t>
        </is>
      </c>
      <c r="C19" s="15" t="inlineStr">
        <is>
          <t>01/04/2026</t>
        </is>
      </c>
      <c r="D19" s="14" t="inlineStr">
        <is>
          <t>TP</t>
        </is>
      </c>
      <c r="E19" s="14" t="n"/>
      <c r="F19" s="14" t="n"/>
      <c r="G19" s="14" t="n"/>
      <c r="H19" s="14" t="n">
        <v>0.9743589743589743</v>
      </c>
      <c r="K19" s="17" t="inlineStr">
        <is>
          <t>Field:</t>
        </is>
      </c>
      <c r="L19" t="inlineStr">
        <is>
          <t>Terms / Arrangement_Start_Date</t>
        </is>
      </c>
    </row>
    <row r="20">
      <c r="A20" s="14" t="inlineStr">
        <is>
          <t>Den Bosch, Ruwekampweg 4, HOVK getekend.pdf</t>
        </is>
      </c>
      <c r="B20" s="15" t="inlineStr">
        <is>
          <t>01/01/2017</t>
        </is>
      </c>
      <c r="C20" s="15" t="inlineStr">
        <is>
          <t>01/01/2017</t>
        </is>
      </c>
      <c r="D20" s="14" t="inlineStr">
        <is>
          <t>TP</t>
        </is>
      </c>
      <c r="E20" s="14" t="n"/>
      <c r="F20" s="14" t="n"/>
      <c r="G20" s="14" t="n"/>
      <c r="H20" s="14" t="n">
        <v>0.9743589743589743</v>
      </c>
    </row>
    <row r="21">
      <c r="A21" s="14" t="inlineStr">
        <is>
          <t>FULLY SIGNED - COMPL Huurovereenkomst - Heijmans - Hugo de Grootlaan 23 's-Hertogenbosch V2 30-9-2025.pdf</t>
        </is>
      </c>
      <c r="B21" s="15" t="inlineStr">
        <is>
          <t>15/10/2025</t>
        </is>
      </c>
      <c r="C21" s="15" t="inlineStr">
        <is>
          <t>15/10/2025</t>
        </is>
      </c>
      <c r="D21" s="14" t="inlineStr">
        <is>
          <t>TP</t>
        </is>
      </c>
      <c r="E21" s="14" t="n"/>
      <c r="F21" s="14" t="n"/>
      <c r="G21" s="14" t="n"/>
      <c r="H21" s="14" t="n">
        <v>0.9845590159644072</v>
      </c>
    </row>
    <row r="22">
      <c r="A22" s="14" t="inlineStr">
        <is>
          <t>FULLY SIGNED - DEF_COMPL_Huurovereenkomst_Robo_Charge_-_Campus_Offices_-_20260220.pdf</t>
        </is>
      </c>
      <c r="B22" s="15" t="inlineStr">
        <is>
          <t>01/04/2026</t>
        </is>
      </c>
      <c r="C22" s="15" t="inlineStr">
        <is>
          <t>01/04/2026</t>
        </is>
      </c>
      <c r="D22" s="14" t="inlineStr">
        <is>
          <t>TP</t>
        </is>
      </c>
      <c r="E22" s="14" t="n"/>
      <c r="F22" s="14" t="n"/>
      <c r="G22" s="14" t="n"/>
      <c r="H22" s="14" t="n">
        <v>0.9845590159644072</v>
      </c>
    </row>
    <row r="23">
      <c r="A23" s="14" t="inlineStr">
        <is>
          <t>FULLY SIGNED - Onderhuurovereenkomst Aartshertogenlaan 223, `s-Hertogenbosch - Koning Willem I College B.V. 2606202.pdf</t>
        </is>
      </c>
      <c r="B23" s="15" t="inlineStr">
        <is>
          <t>01/08/2025</t>
        </is>
      </c>
      <c r="C23" s="15" t="inlineStr">
        <is>
          <t>01/08/2025</t>
        </is>
      </c>
      <c r="D23" s="14" t="inlineStr">
        <is>
          <t>TP</t>
        </is>
      </c>
      <c r="E23" s="14" t="n"/>
      <c r="F23" s="14" t="n"/>
      <c r="G23" s="14" t="n"/>
      <c r="H23" s="14" t="n">
        <v>0.9743589743589743</v>
      </c>
    </row>
    <row r="24">
      <c r="A24" s="14" t="inlineStr">
        <is>
          <t>FULLY SIGNED COMPL_DEF_Huurovereenkomst_Bond_Bergschot_Breda.pdf</t>
        </is>
      </c>
      <c r="B24" s="15" t="inlineStr">
        <is>
          <t>01/07/2025</t>
        </is>
      </c>
      <c r="C24" s="15" t="inlineStr">
        <is>
          <t>01/07/2025</t>
        </is>
      </c>
      <c r="D24" s="14" t="inlineStr">
        <is>
          <t>TP</t>
        </is>
      </c>
      <c r="E24" s="14" t="n"/>
      <c r="F24" s="14" t="n"/>
      <c r="G24" s="14" t="n"/>
      <c r="H24" s="14" t="n">
        <v>0.9743589743589743</v>
      </c>
    </row>
    <row r="25">
      <c r="A25" s="14" t="inlineStr">
        <is>
          <t>FullySigned_Allonge_II_Virtual_Vaults_Nederland.pdf</t>
        </is>
      </c>
      <c r="B25" s="15" t="inlineStr">
        <is>
          <t>01/11/2018</t>
        </is>
      </c>
      <c r="C25" s="15" t="inlineStr">
        <is>
          <t>01/11/2018</t>
        </is>
      </c>
      <c r="D25" s="14" t="inlineStr">
        <is>
          <t>TP</t>
        </is>
      </c>
      <c r="E25" s="14" t="n"/>
      <c r="F25" s="14" t="n"/>
      <c r="G25" s="14" t="n"/>
      <c r="H25" s="14" t="n">
        <v>0.9743589743589743</v>
      </c>
    </row>
    <row r="26">
      <c r="A26" s="14" t="inlineStr">
        <is>
          <t>FullySigned_Lease_Agreement_Neste_EDGE_Coolsingel.pdf</t>
        </is>
      </c>
      <c r="B26" s="15" t="inlineStr">
        <is>
          <t>01/08/2027</t>
        </is>
      </c>
      <c r="C26" s="15" t="inlineStr">
        <is>
          <t>01/08/2027</t>
        </is>
      </c>
      <c r="D26" s="14" t="inlineStr">
        <is>
          <t>TP</t>
        </is>
      </c>
      <c r="E26" s="14" t="n"/>
      <c r="F26" s="14" t="n"/>
      <c r="G26" s="14" t="n"/>
      <c r="H26" s="14" t="n">
        <v>0.9743589743589743</v>
      </c>
    </row>
    <row r="27">
      <c r="A27" s="14" t="inlineStr">
        <is>
          <t>HOK Waalhaven Group (signed).pdf</t>
        </is>
      </c>
      <c r="B27" s="15" t="inlineStr">
        <is>
          <t>01/09/2026</t>
        </is>
      </c>
      <c r="C27" s="15" t="inlineStr">
        <is>
          <t>01/09/2026</t>
        </is>
      </c>
      <c r="D27" s="14" t="inlineStr">
        <is>
          <t>TP</t>
        </is>
      </c>
      <c r="E27" s="14" t="n"/>
      <c r="F27" s="14" t="n"/>
      <c r="G27" s="14" t="n"/>
      <c r="H27" s="14" t="n">
        <v>0.9743589743589743</v>
      </c>
    </row>
    <row r="28">
      <c r="A28" s="14" t="inlineStr">
        <is>
          <t>Hovk Avans  (3e+4e+5e verd.) 20140425.pdf</t>
        </is>
      </c>
      <c r="B28" s="15" t="inlineStr">
        <is>
          <t>01/05/2014</t>
        </is>
      </c>
      <c r="C28" s="15" t="inlineStr">
        <is>
          <t>01/05/2014</t>
        </is>
      </c>
      <c r="D28" s="14" t="inlineStr">
        <is>
          <t>TP</t>
        </is>
      </c>
      <c r="E28" s="14" t="n"/>
      <c r="F28" s="14" t="n"/>
      <c r="G28" s="14" t="n"/>
      <c r="H28" s="14" t="n">
        <v>0.9743589743589743</v>
      </c>
    </row>
    <row r="29">
      <c r="A29" s="14" t="inlineStr">
        <is>
          <t>HOVK Power4People 2025.pdf</t>
        </is>
      </c>
      <c r="B29" s="15" t="inlineStr">
        <is>
          <t>01/07/2025</t>
        </is>
      </c>
      <c r="C29" s="15" t="inlineStr">
        <is>
          <t>01/07/2025</t>
        </is>
      </c>
      <c r="D29" s="14" t="inlineStr">
        <is>
          <t>TP</t>
        </is>
      </c>
      <c r="E29" s="14" t="n"/>
      <c r="F29" s="14" t="n"/>
      <c r="G29" s="14" t="n"/>
      <c r="H29" s="14" t="n">
        <v>0.9820675105485231</v>
      </c>
    </row>
    <row r="30">
      <c r="A30" s="14" t="inlineStr">
        <is>
          <t>Huurovereenkomst (Semmie Group B.V.) - Wilhelminasingel 19, Breda.pdf</t>
        </is>
      </c>
      <c r="B30" s="15" t="inlineStr">
        <is>
          <t>15/01/2026</t>
        </is>
      </c>
      <c r="C30" s="15" t="inlineStr">
        <is>
          <t>15/01/2026</t>
        </is>
      </c>
      <c r="D30" s="14" t="inlineStr">
        <is>
          <t>TP</t>
        </is>
      </c>
      <c r="E30" s="14" t="n"/>
      <c r="F30" s="14" t="n"/>
      <c r="G30" s="14" t="n"/>
      <c r="H30" s="14" t="n">
        <v>0.9743589743589743</v>
      </c>
    </row>
    <row r="31">
      <c r="A31" s="14" t="inlineStr">
        <is>
          <t>Huurovereenkomst - proces-verbaal van oplevering - sleuteloverdracht - Kennedyplein 101 - getekend.pdf</t>
        </is>
      </c>
      <c r="B31" s="15" t="inlineStr">
        <is>
          <t>01/03/2026</t>
        </is>
      </c>
      <c r="C31" s="15" t="inlineStr">
        <is>
          <t>01/03/2026</t>
        </is>
      </c>
      <c r="D31" s="14" t="inlineStr">
        <is>
          <t>TP</t>
        </is>
      </c>
      <c r="E31" s="14" t="n"/>
      <c r="F31" s="14" t="n"/>
      <c r="G31" s="14" t="n"/>
      <c r="H31" s="14" t="n">
        <v>0.9845590159644072</v>
      </c>
    </row>
    <row r="32">
      <c r="A32" s="14" t="inlineStr">
        <is>
          <t>Huurovereenkomst Bijster 5 te Breda getekend.pdf</t>
        </is>
      </c>
      <c r="B32" s="15" t="inlineStr">
        <is>
          <t>01/01/2026</t>
        </is>
      </c>
      <c r="C32" s="15" t="inlineStr">
        <is>
          <t>01/01/2026</t>
        </is>
      </c>
      <c r="D32" s="14" t="inlineStr">
        <is>
          <t>TP</t>
        </is>
      </c>
      <c r="E32" s="14" t="n"/>
      <c r="F32" s="14" t="n"/>
      <c r="G32" s="14" t="n"/>
      <c r="H32" s="14" t="n">
        <v>0.9743589743589743</v>
      </c>
    </row>
    <row r="33">
      <c r="A33" s="14" t="inlineStr">
        <is>
          <t>Huurovereenkomst Catena Pand Son - Skymark (Son en Breugel - NLD).pdf</t>
        </is>
      </c>
      <c r="B33" s="15" t="inlineStr">
        <is>
          <t>01/05/2014</t>
        </is>
      </c>
      <c r="C33" s="15" t="inlineStr">
        <is>
          <t>01/05/2014</t>
        </is>
      </c>
      <c r="D33" s="14" t="inlineStr">
        <is>
          <t>TP</t>
        </is>
      </c>
      <c r="E33" s="14" t="n"/>
      <c r="F33" s="14" t="n"/>
      <c r="G33" s="14" t="n"/>
      <c r="H33" s="14" t="n">
        <v>0.9845590159644072</v>
      </c>
    </row>
    <row r="34">
      <c r="A34" s="14" t="inlineStr">
        <is>
          <t>Huurovereenkomst KPN Opstelpunt Parallelweg 64 20130313.pdf</t>
        </is>
      </c>
      <c r="B34" s="15" t="inlineStr">
        <is>
          <t>01/11/2015</t>
        </is>
      </c>
      <c r="C34" s="15" t="inlineStr">
        <is>
          <t>01/11/2015</t>
        </is>
      </c>
      <c r="D34" s="14" t="inlineStr">
        <is>
          <t>TP</t>
        </is>
      </c>
      <c r="E34" s="14" t="n"/>
      <c r="F34" s="14" t="n"/>
      <c r="G34" s="14" t="n"/>
      <c r="H34" s="14" t="n">
        <v>0.9820675105485231</v>
      </c>
    </row>
    <row r="35">
      <c r="A35" s="14" t="inlineStr">
        <is>
          <t>Huurovereenkomst PBG Parallelweg 64 (beg.grond) 20121008.pdf</t>
        </is>
      </c>
      <c r="B35" s="15" t="inlineStr">
        <is>
          <t>01/10/2012</t>
        </is>
      </c>
      <c r="C35" s="15" t="inlineStr">
        <is>
          <t>01/10/2012</t>
        </is>
      </c>
      <c r="D35" s="14" t="inlineStr">
        <is>
          <t>TP</t>
        </is>
      </c>
      <c r="E35" s="14" t="n"/>
      <c r="F35" s="14" t="n"/>
      <c r="G35" s="14" t="n"/>
      <c r="H35" s="14" t="n">
        <v>0.9743589743589743</v>
      </c>
    </row>
    <row r="36">
      <c r="A36" s="14" t="inlineStr">
        <is>
          <t>MWO CBRE SPA (ITALY) CBRE_090724.pdf</t>
        </is>
      </c>
      <c r="B36" s="15" t="inlineStr">
        <is>
          <t>24/09/2024</t>
        </is>
      </c>
      <c r="C36" s="15" t="inlineStr">
        <is>
          <t>24/09/2024</t>
        </is>
      </c>
      <c r="D36" s="14" t="inlineStr">
        <is>
          <t>TP</t>
        </is>
      </c>
      <c r="E36" s="14" t="n"/>
      <c r="F36" s="14" t="n"/>
      <c r="G36" s="14" t="n"/>
      <c r="H36" s="14" t="n">
        <v>0.9428571428571428</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36"/>
  <sheetViews>
    <sheetView zoomScale="80" zoomScaleNormal="80" workbookViewId="0">
      <pane ySplit="1" topLeftCell="A2" activePane="bottomLeft" state="frozen"/>
      <selection pane="bottomLeft" activeCell="K42" sqref="K42"/>
    </sheetView>
  </sheetViews>
  <sheetFormatPr baseColWidth="8" defaultRowHeight="14.4"/>
  <cols>
    <col width="123" bestFit="1" customWidth="1" min="1" max="1"/>
    <col width="12.33203125" bestFit="1" customWidth="1" min="2" max="2"/>
    <col width="14.109375" bestFit="1" customWidth="1" min="3" max="3"/>
    <col width="6.5546875" bestFit="1" customWidth="1" min="4" max="4"/>
    <col width="10.21875" bestFit="1" customWidth="1" min="5" max="5"/>
    <col width="15.109375" bestFit="1" customWidth="1" min="6" max="6"/>
    <col width="9.109375" bestFit="1" customWidth="1" min="7" max="7"/>
    <col width="12.6640625" bestFit="1" customWidth="1" min="8" max="8"/>
    <col width="28.21875" customWidth="1" min="11" max="11"/>
    <col width="29.88671875" bestFit="1" customWidth="1" min="12" max="12"/>
    <col width="6.5546875" bestFit="1" customWidth="1" min="13" max="13"/>
    <col width="27.6640625" bestFit="1" customWidth="1" min="14" max="14"/>
    <col width="10.6640625" bestFit="1"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28" t="n">
        <v>583.33</v>
      </c>
      <c r="C2" s="15" t="inlineStr">
        <is>
          <t>583.33</t>
        </is>
      </c>
      <c r="D2" s="14" t="inlineStr">
        <is>
          <t>TP</t>
        </is>
      </c>
      <c r="E2" s="14" t="n"/>
      <c r="F2" s="14" t="n"/>
      <c r="G2" s="14" t="n"/>
      <c r="H2" s="14" t="n">
        <v>0.955435708203236</v>
      </c>
      <c r="K2" s="16" t="inlineStr">
        <is>
          <t>Metrics</t>
        </is>
      </c>
      <c r="L2" s="16" t="inlineStr">
        <is>
          <t>Percentage</t>
        </is>
      </c>
      <c r="N2" s="16" t="inlineStr">
        <is>
          <t>Metrics</t>
        </is>
      </c>
      <c r="O2" s="16" t="inlineStr">
        <is>
          <t>Percentage</t>
        </is>
      </c>
    </row>
    <row r="3">
      <c r="A3" s="14" t="inlineStr">
        <is>
          <t>2024.10.30_Office Rental Agreement Labs_Gruyter Fabriek.pdf</t>
        </is>
      </c>
      <c r="B3" s="28" t="n">
        <v>8835</v>
      </c>
      <c r="C3" s="15" t="inlineStr">
        <is>
          <t>8835</t>
        </is>
      </c>
      <c r="D3" s="14" t="inlineStr">
        <is>
          <t>TP</t>
        </is>
      </c>
      <c r="E3" s="14" t="n"/>
      <c r="F3" s="14" t="n"/>
      <c r="G3" s="14" t="n"/>
      <c r="H3" s="14" t="n">
        <v>0.955435708203236</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35" t="n">
        <v>59465.83</v>
      </c>
      <c r="C4" s="36" t="inlineStr">
        <is>
          <t>713590</t>
        </is>
      </c>
      <c r="D4" s="26" t="inlineStr">
        <is>
          <t>FP</t>
        </is>
      </c>
      <c r="E4" s="14" t="n"/>
      <c r="F4" s="14" t="n"/>
      <c r="G4" s="14" t="n"/>
      <c r="H4" s="14" t="n">
        <v>0.955435708203236</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35" t="n">
        <v>982.33</v>
      </c>
      <c r="C5" s="36" t="inlineStr">
        <is>
          <t>652.25</t>
        </is>
      </c>
      <c r="D5" s="26" t="inlineStr">
        <is>
          <t>FP</t>
        </is>
      </c>
      <c r="E5" s="14" t="n"/>
      <c r="F5" s="14" t="n"/>
      <c r="G5" s="14" t="n"/>
      <c r="H5" s="14" t="n">
        <v>0.9530892448512585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28" t="n">
        <v>245000</v>
      </c>
      <c r="C6" s="15" t="inlineStr">
        <is>
          <t>245000</t>
        </is>
      </c>
      <c r="D6" s="14" t="inlineStr">
        <is>
          <t>TP</t>
        </is>
      </c>
      <c r="E6" s="14" t="n"/>
      <c r="F6" s="14" t="n"/>
      <c r="G6" s="14" t="n"/>
      <c r="H6" s="14" t="n">
        <v>0.9189189189189189</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28" t="n">
        <v>2267.92</v>
      </c>
      <c r="C7" s="15" t="inlineStr">
        <is>
          <t>2267.92</t>
        </is>
      </c>
      <c r="D7" s="14" t="inlineStr">
        <is>
          <t>TP</t>
        </is>
      </c>
      <c r="E7" s="14" t="n"/>
      <c r="F7" s="14" t="n"/>
      <c r="G7" s="14" t="n"/>
      <c r="H7" s="14" t="n">
        <v>0.955435708203236</v>
      </c>
      <c r="K7" s="17" t="inlineStr">
        <is>
          <t>Total Docs Tested</t>
        </is>
      </c>
      <c r="L7" s="19">
        <f>COUNTA(A2:A36)</f>
        <v/>
      </c>
      <c r="N7" s="17" t="inlineStr">
        <is>
          <t>Total Docs Tested</t>
        </is>
      </c>
      <c r="O7" s="19">
        <f>COUNTA(A2:A36)</f>
        <v/>
      </c>
    </row>
    <row r="8">
      <c r="A8" s="14" t="inlineStr">
        <is>
          <t>20260629 HOK ADHDcentraal BV (1).pdf</t>
        </is>
      </c>
      <c r="B8" s="35" t="n">
        <v>4695.61</v>
      </c>
      <c r="C8" s="36" t="inlineStr">
        <is>
          <t>3380.74</t>
        </is>
      </c>
      <c r="D8" s="26" t="inlineStr">
        <is>
          <t>FP</t>
        </is>
      </c>
      <c r="E8" s="14" t="n"/>
      <c r="F8" s="14" t="n"/>
      <c r="G8" s="14" t="n"/>
      <c r="H8" s="14" t="n">
        <v>0.9458272327964862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28" t="n">
        <v>22733.67</v>
      </c>
      <c r="C9" s="15" t="inlineStr">
        <is>
          <t>22733.67</t>
        </is>
      </c>
      <c r="D9" s="14" t="n"/>
      <c r="E9" s="14" t="n"/>
      <c r="F9" s="14" t="n"/>
      <c r="G9" s="14" t="n"/>
      <c r="H9" s="14" t="n">
        <v>0.955435708203236</v>
      </c>
      <c r="K9" s="17" t="inlineStr">
        <is>
          <t>No Of Docs With Response</t>
        </is>
      </c>
      <c r="L9" s="19">
        <f>COUNTIFS(C2:C36,"&lt;&gt;")</f>
        <v/>
      </c>
      <c r="N9" s="17" t="inlineStr">
        <is>
          <t>No Of Docs With Response Pg</t>
        </is>
      </c>
      <c r="O9" s="19">
        <f>COUNTIFS(F2:F36,"&lt;&gt;")</f>
        <v/>
      </c>
    </row>
    <row r="10">
      <c r="A10" s="14" t="inlineStr">
        <is>
          <t>20260810 HOK ClustR BV.pdf</t>
        </is>
      </c>
      <c r="B10" s="35" t="n">
        <v>3325.13</v>
      </c>
      <c r="C10" s="36" t="inlineStr">
        <is>
          <t>1865.67</t>
        </is>
      </c>
      <c r="D10" s="37" t="inlineStr">
        <is>
          <t>FP</t>
        </is>
      </c>
      <c r="E10" s="14" t="n"/>
      <c r="F10" s="14" t="n"/>
      <c r="G10" s="14" t="n"/>
      <c r="H10" s="14" t="n">
        <v>0.955435708203236</v>
      </c>
      <c r="K10" s="20" t="inlineStr">
        <is>
          <t>Highlighted rows = file(s) not in the annotation sheet; excluded from all metrics above.</t>
        </is>
      </c>
    </row>
    <row r="11">
      <c r="A11" s="14" t="inlineStr">
        <is>
          <t>20270801 - Getekende Allonge II Advario BV.pdf</t>
        </is>
      </c>
      <c r="B11" s="28" t="n">
        <v>24420.89</v>
      </c>
      <c r="C11" s="15" t="inlineStr">
        <is>
          <t>24357.08</t>
        </is>
      </c>
      <c r="D11" s="14" t="inlineStr">
        <is>
          <t>TP</t>
        </is>
      </c>
      <c r="E11" s="14" t="inlineStr">
        <is>
          <t>3</t>
        </is>
      </c>
      <c r="F11" s="14" t="n"/>
      <c r="G11" s="14" t="n"/>
      <c r="H11" s="14" t="n">
        <v>0.820670205706702</v>
      </c>
      <c r="K11" s="17" t="inlineStr">
        <is>
          <t>Validation Rules Example</t>
        </is>
      </c>
    </row>
    <row r="12">
      <c r="A12" s="14" t="inlineStr">
        <is>
          <t>240119 HOVK Spoorlaan 446-448 Tilburg signed.pdf</t>
        </is>
      </c>
      <c r="B12" s="28" t="n">
        <v>33750</v>
      </c>
      <c r="C12" s="15" t="inlineStr">
        <is>
          <t>33750</t>
        </is>
      </c>
      <c r="D12" s="14" t="inlineStr">
        <is>
          <t>TP</t>
        </is>
      </c>
      <c r="E12" s="14" t="n"/>
      <c r="F12" s="14" t="n"/>
      <c r="G12" s="14" t="n"/>
      <c r="H12" s="14" t="n">
        <v>0.955435708203236</v>
      </c>
      <c r="K12" s="16" t="inlineStr">
        <is>
          <t>Manual Data</t>
        </is>
      </c>
      <c r="L12" s="16" t="inlineStr">
        <is>
          <t>Response Data</t>
        </is>
      </c>
      <c r="M12" s="16" t="inlineStr">
        <is>
          <t>Result</t>
        </is>
      </c>
    </row>
    <row r="13">
      <c r="A13" s="14" t="inlineStr">
        <is>
          <t>27001 Rijksvastgoedbedrijf Huurovereenkomst - __27-01-2026_9-07-56.pdf</t>
        </is>
      </c>
      <c r="B13" s="28" t="n">
        <v>66497.37</v>
      </c>
      <c r="C13" s="15" t="inlineStr">
        <is>
          <t>66497.36</t>
        </is>
      </c>
      <c r="D13" s="14" t="inlineStr">
        <is>
          <t>TP</t>
        </is>
      </c>
      <c r="E13" s="14" t="n"/>
      <c r="F13" s="14" t="n"/>
      <c r="G13" s="14" t="n"/>
      <c r="H13" s="14" t="n">
        <v>0.897001998667555</v>
      </c>
      <c r="K13" t="n">
        <v>100</v>
      </c>
      <c r="L13" t="n">
        <v>100</v>
      </c>
      <c r="M13" t="inlineStr">
        <is>
          <t>TP</t>
        </is>
      </c>
    </row>
    <row r="14">
      <c r="A14" s="14" t="inlineStr">
        <is>
          <t>CBRE_AT_Services_ENG_-_RITUALS_CBRE signed.pdf</t>
        </is>
      </c>
      <c r="B14" s="28" t="inlineStr">
        <is>
          <t>i dont know</t>
        </is>
      </c>
      <c r="C14" s="15" t="inlineStr">
        <is>
          <t>41666.67</t>
        </is>
      </c>
      <c r="D14" s="14" t="inlineStr">
        <is>
          <t>TP</t>
        </is>
      </c>
      <c r="E14" s="14" t="n"/>
      <c r="F14" s="14" t="n"/>
      <c r="G14" s="14" t="n"/>
      <c r="H14" s="14" t="n">
        <v>0.8742857142857143</v>
      </c>
      <c r="L14" t="n">
        <v>100</v>
      </c>
      <c r="M14" t="inlineStr">
        <is>
          <t>FP</t>
        </is>
      </c>
    </row>
    <row r="15">
      <c r="A15" s="14" t="inlineStr">
        <is>
          <t>CBRE_Engagement_Letter_Alnylam_20260525_CLEAN_Version_signed all.pdf</t>
        </is>
      </c>
      <c r="B15" s="35" t="inlineStr">
        <is>
          <t>i dont know</t>
        </is>
      </c>
      <c r="C15" s="36" t="n"/>
      <c r="D15" s="26" t="inlineStr">
        <is>
          <t>FP</t>
        </is>
      </c>
      <c r="E15" s="14" t="n"/>
      <c r="F15" s="14" t="n"/>
      <c r="G15" s="14" t="n"/>
      <c r="H15" s="14" t="n"/>
      <c r="K15" t="n">
        <v>100</v>
      </c>
      <c r="L15" t="n">
        <v>200</v>
      </c>
      <c r="M15" t="inlineStr">
        <is>
          <t>FP</t>
        </is>
      </c>
    </row>
    <row r="16">
      <c r="A16" s="14" t="inlineStr">
        <is>
          <t>COMPL DEF Huurovereenkomst - Skybox - Pepperl+Fuchs - 20260204.pdf</t>
        </is>
      </c>
      <c r="B16" s="35" t="n">
        <v>5360.83</v>
      </c>
      <c r="C16" s="36" t="inlineStr">
        <is>
          <t>4902.5</t>
        </is>
      </c>
      <c r="D16" s="37" t="inlineStr">
        <is>
          <t>FP</t>
        </is>
      </c>
      <c r="E16" s="14" t="n"/>
      <c r="F16" s="14" t="n"/>
      <c r="G16" s="14" t="n"/>
      <c r="H16" s="14" t="n">
        <v>0.4403771542001265</v>
      </c>
      <c r="K16" t="n">
        <v>100</v>
      </c>
      <c r="M16" t="inlineStr">
        <is>
          <t>FN</t>
        </is>
      </c>
    </row>
    <row r="17">
      <c r="A17" s="14" t="inlineStr">
        <is>
          <t>COMPL Huurovereenkomst - Stichting CCE - Kantoorgebouw Metzpoint I Dr. Holtroplaan - Fully Signed.pdf</t>
        </is>
      </c>
      <c r="B17" s="28" t="n">
        <v>3759.5</v>
      </c>
      <c r="C17" s="15" t="inlineStr">
        <is>
          <t>3759.5</t>
        </is>
      </c>
      <c r="D17" s="14" t="inlineStr">
        <is>
          <t>TP</t>
        </is>
      </c>
      <c r="E17" s="14" t="n"/>
      <c r="F17" s="14" t="n"/>
      <c r="G17" s="14" t="n"/>
      <c r="H17" s="14" t="n">
        <v>0.955435708203236</v>
      </c>
      <c r="M17" t="inlineStr">
        <is>
          <t>TN</t>
        </is>
      </c>
    </row>
    <row r="18">
      <c r="A18" s="14" t="inlineStr">
        <is>
          <t>COMPL Regel Partners - HOVK - Luchthavenweg 81 - 20260728.pdf</t>
        </is>
      </c>
      <c r="B18" s="28" t="n">
        <v>4292.13</v>
      </c>
      <c r="C18" s="15" t="inlineStr">
        <is>
          <t>4275.46</t>
        </is>
      </c>
      <c r="D18" s="14" t="inlineStr">
        <is>
          <t>TP</t>
        </is>
      </c>
      <c r="E18" s="14" t="n"/>
      <c r="F18" s="14" t="n"/>
      <c r="G18" s="14" t="n"/>
      <c r="H18" s="14" t="n">
        <v>0.7737179487179486</v>
      </c>
    </row>
    <row r="19">
      <c r="A19" s="14" t="inlineStr">
        <is>
          <t>COMPL_-_Onderhuurovereenkomst_Zelfstroom_B.V._-_50five_B.V._-_kantoorgebouw_Riva_-_05032026.pdf</t>
        </is>
      </c>
      <c r="B19" s="28" t="n">
        <v>17620.63</v>
      </c>
      <c r="C19" s="15" t="inlineStr">
        <is>
          <t>17620.63</t>
        </is>
      </c>
      <c r="D19" s="14" t="inlineStr">
        <is>
          <t>TP</t>
        </is>
      </c>
      <c r="E19" s="14" t="n"/>
      <c r="F19" s="14" t="n"/>
      <c r="G19" s="14" t="n"/>
      <c r="H19" s="14" t="n">
        <v>0.9189189189189189</v>
      </c>
      <c r="K19" s="17" t="inlineStr">
        <is>
          <t>Field:</t>
        </is>
      </c>
      <c r="L19" t="inlineStr">
        <is>
          <t>Terms / Asking_Rent_Monthly</t>
        </is>
      </c>
    </row>
    <row r="20">
      <c r="A20" s="14" t="inlineStr">
        <is>
          <t>Den Bosch, Ruwekampweg 4, HOVK getekend.pdf</t>
        </is>
      </c>
      <c r="B20" s="28" t="n">
        <v>7916.67</v>
      </c>
      <c r="C20" s="15" t="inlineStr">
        <is>
          <t>7916.67</t>
        </is>
      </c>
      <c r="D20" s="14" t="inlineStr">
        <is>
          <t>TP</t>
        </is>
      </c>
      <c r="E20" s="14" t="n"/>
      <c r="F20" s="14" t="n"/>
      <c r="G20" s="14" t="n"/>
      <c r="H20" s="14" t="n">
        <v>0.955435708203236</v>
      </c>
    </row>
    <row r="21">
      <c r="A21" s="14" t="inlineStr">
        <is>
          <t>FULLY SIGNED - COMPL Huurovereenkomst - Heijmans - Hugo de Grootlaan 23 's-Hertogenbosch V2 30-9-2025.pdf</t>
        </is>
      </c>
      <c r="B21" s="28" t="n">
        <v>5368.99</v>
      </c>
      <c r="C21" s="15" t="inlineStr">
        <is>
          <t>5352.32</t>
        </is>
      </c>
      <c r="D21" s="14" t="inlineStr">
        <is>
          <t>TP</t>
        </is>
      </c>
      <c r="E21" s="14" t="n"/>
      <c r="F21" s="14" t="n"/>
      <c r="G21" s="14" t="n"/>
      <c r="H21" s="14" t="n">
        <v>0.5849890873817798</v>
      </c>
    </row>
    <row r="22">
      <c r="A22" s="14" t="inlineStr">
        <is>
          <t>FULLY SIGNED - DEF_COMPL_Huurovereenkomst_Robo_Charge_-_Campus_Offices_-_20260220.pdf</t>
        </is>
      </c>
      <c r="B22" s="28" t="n">
        <v>4628.67</v>
      </c>
      <c r="C22" s="15" t="inlineStr">
        <is>
          <t>4628.67</t>
        </is>
      </c>
      <c r="D22" s="14" t="inlineStr">
        <is>
          <t>TP</t>
        </is>
      </c>
      <c r="E22" s="14" t="n"/>
      <c r="F22" s="14" t="n"/>
      <c r="G22" s="14" t="n"/>
      <c r="H22" s="14" t="n">
        <v>0.9530892448512585</v>
      </c>
    </row>
    <row r="23">
      <c r="A23" s="14" t="inlineStr">
        <is>
          <t>FULLY SIGNED - Onderhuurovereenkomst Aartshertogenlaan 223, `s-Hertogenbosch - Koning Willem I College B.V. 2606202.pdf</t>
        </is>
      </c>
      <c r="B23" s="28" t="n">
        <v>9514.74</v>
      </c>
      <c r="C23" s="15" t="inlineStr">
        <is>
          <t>9514.74</t>
        </is>
      </c>
      <c r="D23" s="14" t="inlineStr">
        <is>
          <t>TP</t>
        </is>
      </c>
      <c r="E23" s="14" t="n"/>
      <c r="F23" s="14" t="n"/>
      <c r="G23" s="14" t="n"/>
      <c r="H23" s="14" t="n">
        <v>0.955435708203236</v>
      </c>
    </row>
    <row r="24">
      <c r="A24" s="14" t="inlineStr">
        <is>
          <t>FULLY SIGNED COMPL_DEF_Huurovereenkomst_Bond_Bergschot_Breda.pdf</t>
        </is>
      </c>
      <c r="B24" s="28" t="n">
        <v>15014.85</v>
      </c>
      <c r="C24" s="15" t="inlineStr">
        <is>
          <t>15014.85</t>
        </is>
      </c>
      <c r="D24" s="14" t="inlineStr">
        <is>
          <t>TP</t>
        </is>
      </c>
      <c r="E24" s="14" t="n"/>
      <c r="F24" s="14" t="n"/>
      <c r="G24" s="14" t="n"/>
      <c r="H24" s="14" t="n">
        <v>0.9530892448512585</v>
      </c>
    </row>
    <row r="25">
      <c r="A25" s="14" t="inlineStr">
        <is>
          <t>FullySigned_Allonge_II_Virtual_Vaults_Nederland.pdf</t>
        </is>
      </c>
      <c r="B25" s="28" t="n">
        <v>19322.22</v>
      </c>
      <c r="C25" s="15" t="inlineStr">
        <is>
          <t>19226.66</t>
        </is>
      </c>
      <c r="D25" s="14" t="inlineStr">
        <is>
          <t>TP</t>
        </is>
      </c>
      <c r="E25" s="14" t="n"/>
      <c r="F25" s="14" t="n"/>
      <c r="G25" s="14" t="n"/>
      <c r="H25" s="14" t="n">
        <v>0.6465616596235114</v>
      </c>
    </row>
    <row r="26">
      <c r="A26" s="14" t="inlineStr">
        <is>
          <t>FullySigned_Lease_Agreement_Neste_EDGE_Coolsingel.pdf</t>
        </is>
      </c>
      <c r="B26" s="28" t="n">
        <v>37825</v>
      </c>
      <c r="C26" s="15" t="inlineStr">
        <is>
          <t>37825</t>
        </is>
      </c>
      <c r="D26" s="14" t="inlineStr">
        <is>
          <t>TP</t>
        </is>
      </c>
      <c r="E26" s="14" t="n"/>
      <c r="F26" s="14" t="n"/>
      <c r="G26" s="14" t="n"/>
      <c r="H26" s="14" t="n">
        <v>0.955435708203236</v>
      </c>
    </row>
    <row r="27">
      <c r="A27" s="14" t="inlineStr">
        <is>
          <t>HOK Waalhaven Group (signed).pdf</t>
        </is>
      </c>
      <c r="B27" s="28" t="n">
        <v>10707.5</v>
      </c>
      <c r="C27" s="15" t="inlineStr">
        <is>
          <t>10707.5</t>
        </is>
      </c>
      <c r="D27" s="14" t="inlineStr">
        <is>
          <t>TP</t>
        </is>
      </c>
      <c r="E27" s="14" t="n"/>
      <c r="F27" s="14" t="n"/>
      <c r="G27" s="14" t="n"/>
      <c r="H27" s="14" t="n">
        <v>0.9189189189189189</v>
      </c>
    </row>
    <row r="28">
      <c r="A28" s="14" t="inlineStr">
        <is>
          <t>Hovk Avans  (3e+4e+5e verd.) 20140425.pdf</t>
        </is>
      </c>
      <c r="B28" s="28" t="n">
        <v>16702.5</v>
      </c>
      <c r="C28" s="15" t="inlineStr">
        <is>
          <t>16702.5</t>
        </is>
      </c>
      <c r="D28" s="14" t="inlineStr">
        <is>
          <t>TP</t>
        </is>
      </c>
      <c r="E28" s="14" t="n"/>
      <c r="F28" s="14" t="n"/>
      <c r="G28" s="14" t="n"/>
      <c r="H28" s="14" t="n">
        <v>0.955435708203236</v>
      </c>
    </row>
    <row r="29">
      <c r="A29" s="14" t="inlineStr">
        <is>
          <t>HOVK Power4People 2025.pdf</t>
        </is>
      </c>
      <c r="B29" s="35" t="n">
        <v>2020</v>
      </c>
      <c r="C29" s="36" t="inlineStr">
        <is>
          <t>1170</t>
        </is>
      </c>
      <c r="D29" s="37" t="inlineStr">
        <is>
          <t>FP</t>
        </is>
      </c>
      <c r="E29" s="14" t="n"/>
      <c r="F29" s="14" t="n"/>
      <c r="G29" s="14" t="n"/>
      <c r="H29" s="14" t="n">
        <v>0.9530892448512585</v>
      </c>
    </row>
    <row r="30">
      <c r="A30" s="14" t="inlineStr">
        <is>
          <t>Huurovereenkomst (Semmie Group B.V.) - Wilhelminasingel 19, Breda.pdf</t>
        </is>
      </c>
      <c r="B30" s="35" t="n">
        <v>2455.79</v>
      </c>
      <c r="C30" s="36" t="inlineStr">
        <is>
          <t>2117.5</t>
        </is>
      </c>
      <c r="D30" s="37" t="inlineStr">
        <is>
          <t>FP</t>
        </is>
      </c>
      <c r="E30" s="14" t="n"/>
      <c r="F30" s="14" t="n"/>
      <c r="G30" s="14" t="n"/>
      <c r="H30" s="14" t="n">
        <v>0.955435708203236</v>
      </c>
    </row>
    <row r="31">
      <c r="A31" s="14" t="inlineStr">
        <is>
          <t>Huurovereenkomst - proces-verbaal van oplevering - sleuteloverdracht - Kennedyplein 101 - getekend.pdf</t>
        </is>
      </c>
      <c r="B31" s="28" t="n">
        <v>6013.5</v>
      </c>
      <c r="C31" s="15" t="inlineStr">
        <is>
          <t>6013.5</t>
        </is>
      </c>
      <c r="D31" s="14" t="inlineStr">
        <is>
          <t>TP</t>
        </is>
      </c>
      <c r="E31" s="14" t="n"/>
      <c r="F31" s="14" t="n"/>
      <c r="G31" s="14" t="n"/>
      <c r="H31" s="14" t="n">
        <v>0.955435708203236</v>
      </c>
    </row>
    <row r="32">
      <c r="A32" s="14" t="inlineStr">
        <is>
          <t>Huurovereenkomst Bijster 5 te Breda getekend.pdf</t>
        </is>
      </c>
      <c r="B32" s="35" t="n">
        <v>5310.42</v>
      </c>
      <c r="C32" s="36" t="inlineStr">
        <is>
          <t>4893.75</t>
        </is>
      </c>
      <c r="D32" s="37" t="inlineStr">
        <is>
          <t>FP</t>
        </is>
      </c>
      <c r="E32" s="14" t="n"/>
      <c r="F32" s="14" t="n"/>
      <c r="G32" s="14" t="n"/>
      <c r="H32" s="14" t="n">
        <v>0.955435708203236</v>
      </c>
    </row>
    <row r="33">
      <c r="A33" s="14" t="inlineStr">
        <is>
          <t>Huurovereenkomst Catena Pand Son - Skymark (Son en Breugel - NLD).pdf</t>
        </is>
      </c>
      <c r="B33" s="28" t="n">
        <v>20154.17</v>
      </c>
      <c r="C33" s="15" t="inlineStr">
        <is>
          <t>20154.17</t>
        </is>
      </c>
      <c r="D33" s="14" t="inlineStr">
        <is>
          <t>TP</t>
        </is>
      </c>
      <c r="E33" s="14" t="n"/>
      <c r="F33" s="14" t="n"/>
      <c r="G33" s="14" t="n"/>
      <c r="H33" s="14" t="n">
        <v>0.9530892448512585</v>
      </c>
    </row>
    <row r="34">
      <c r="A34" s="14" t="inlineStr">
        <is>
          <t>Huurovereenkomst KPN Opstelpunt Parallelweg 64 20130313.pdf</t>
        </is>
      </c>
      <c r="B34" s="28" t="n">
        <v>356.25</v>
      </c>
      <c r="C34" s="15" t="inlineStr">
        <is>
          <t>356.25</t>
        </is>
      </c>
      <c r="D34" s="14" t="inlineStr">
        <is>
          <t>TP</t>
        </is>
      </c>
      <c r="E34" s="14" t="n"/>
      <c r="F34" s="14" t="n"/>
      <c r="G34" s="14" t="n"/>
      <c r="H34" s="14" t="n">
        <v>0.9530892448512585</v>
      </c>
    </row>
    <row r="35">
      <c r="A35" s="14" t="inlineStr">
        <is>
          <t>Huurovereenkomst PBG Parallelweg 64 (beg.grond) 20121008.pdf</t>
        </is>
      </c>
      <c r="B35" s="28" t="n">
        <v>8219.17</v>
      </c>
      <c r="C35" s="15" t="inlineStr">
        <is>
          <t>8219.17</t>
        </is>
      </c>
      <c r="D35" s="14" t="inlineStr">
        <is>
          <t>TP</t>
        </is>
      </c>
      <c r="E35" s="14" t="n"/>
      <c r="F35" s="14" t="n"/>
      <c r="G35" s="14" t="n"/>
      <c r="H35" s="14" t="n">
        <v>0.955435708203236</v>
      </c>
    </row>
    <row r="36">
      <c r="A36" s="14" t="inlineStr">
        <is>
          <t>MWO CBRE SPA (ITALY) CBRE_090724.pdf</t>
        </is>
      </c>
      <c r="B36" s="35" t="inlineStr">
        <is>
          <t>i dont know</t>
        </is>
      </c>
      <c r="C36" s="36" t="n"/>
      <c r="D36" s="37" t="inlineStr">
        <is>
          <t>FP</t>
        </is>
      </c>
      <c r="E36" s="14" t="n"/>
      <c r="F36" s="14" t="n"/>
      <c r="G36" s="14" t="n"/>
      <c r="H36" s="14" t="n"/>
    </row>
  </sheetData>
  <dataValidations count="1">
    <dataValidation sqref="D2:D9 D11:D15 D17:D28 D31 D33:D35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36"/>
  <sheetViews>
    <sheetView tabSelected="1" zoomScale="80" zoomScaleNormal="80" workbookViewId="0">
      <pane ySplit="1" topLeftCell="A2" activePane="bottomLeft" state="frozen"/>
      <selection pane="bottomLeft" activeCell="C40" sqref="C40"/>
    </sheetView>
  </sheetViews>
  <sheetFormatPr baseColWidth="8" defaultRowHeight="14.4"/>
  <cols>
    <col width="123" bestFit="1" customWidth="1" min="1" max="1"/>
    <col width="12.33203125" bestFit="1" customWidth="1" min="2" max="2"/>
    <col width="14.109375" bestFit="1" customWidth="1" min="3" max="3"/>
    <col width="6.5546875" bestFit="1" customWidth="1" min="4" max="4"/>
    <col width="10.21875" bestFit="1" customWidth="1" min="5" max="5"/>
    <col width="15.109375" bestFit="1" customWidth="1" min="6" max="6"/>
    <col width="9.109375" bestFit="1" customWidth="1" min="7" max="7"/>
    <col width="12.6640625" bestFit="1" customWidth="1" min="8" max="8"/>
    <col width="27" customWidth="1" min="11" max="11"/>
    <col width="27.88671875" bestFit="1" customWidth="1" min="12" max="12"/>
    <col width="6.5546875" bestFit="1" customWidth="1" min="13" max="13"/>
    <col width="27.6640625" bestFit="1" customWidth="1" min="14" max="14"/>
    <col width="10.6640625" bestFit="1"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28" t="n">
        <v>7000</v>
      </c>
      <c r="C2" s="15" t="inlineStr">
        <is>
          <t>7000</t>
        </is>
      </c>
      <c r="D2" s="14" t="n"/>
      <c r="E2" s="14" t="n"/>
      <c r="F2" s="14" t="n"/>
      <c r="G2" s="14" t="n"/>
      <c r="H2" s="14" t="n">
        <v>0.9189189189189189</v>
      </c>
      <c r="K2" s="16" t="inlineStr">
        <is>
          <t>Metrics</t>
        </is>
      </c>
      <c r="L2" s="16" t="inlineStr">
        <is>
          <t>Percentage</t>
        </is>
      </c>
      <c r="N2" s="16" t="inlineStr">
        <is>
          <t>Metrics</t>
        </is>
      </c>
      <c r="O2" s="16" t="inlineStr">
        <is>
          <t>Percentage</t>
        </is>
      </c>
    </row>
    <row r="3">
      <c r="A3" s="14" t="inlineStr">
        <is>
          <t>2024.10.30_Office Rental Agreement Labs_Gruyter Fabriek.pdf</t>
        </is>
      </c>
      <c r="B3" s="28" t="n">
        <v>106020</v>
      </c>
      <c r="C3" s="15" t="inlineStr">
        <is>
          <t>106020</t>
        </is>
      </c>
      <c r="D3" s="14" t="n"/>
      <c r="E3" s="14" t="n"/>
      <c r="F3" s="14" t="n"/>
      <c r="G3" s="14" t="n"/>
      <c r="H3" s="14" t="n">
        <v>0.955435708203236</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28" t="n">
        <v>713590</v>
      </c>
      <c r="C4" s="15" t="inlineStr">
        <is>
          <t>713590</t>
        </is>
      </c>
      <c r="D4" s="14" t="n"/>
      <c r="E4" s="14" t="n"/>
      <c r="F4" s="14" t="n"/>
      <c r="G4" s="14" t="n"/>
      <c r="H4" s="14" t="n">
        <v>0.9389448725548312</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35" t="n">
        <v>11788</v>
      </c>
      <c r="C5" s="36" t="inlineStr">
        <is>
          <t>7827</t>
        </is>
      </c>
      <c r="D5" s="26" t="n"/>
      <c r="E5" s="14" t="n"/>
      <c r="F5" s="14" t="n"/>
      <c r="G5" s="14" t="n"/>
      <c r="H5" s="14" t="n">
        <v>0.955435708203236</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28" t="n">
        <v>2940000</v>
      </c>
      <c r="C6" s="15" t="inlineStr">
        <is>
          <t>2940000</t>
        </is>
      </c>
      <c r="D6" s="14" t="n"/>
      <c r="E6" s="14" t="n"/>
      <c r="F6" s="14" t="n"/>
      <c r="G6" s="14" t="n"/>
      <c r="H6" s="14" t="n">
        <v>0.6465616596235114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28" t="n">
        <v>27215</v>
      </c>
      <c r="C7" s="15" t="inlineStr">
        <is>
          <t>25715</t>
        </is>
      </c>
      <c r="D7" s="14" t="n"/>
      <c r="E7" s="14" t="n"/>
      <c r="F7" s="14" t="n"/>
      <c r="G7" s="14" t="n"/>
      <c r="H7" s="14" t="n">
        <v>0.955435708203236</v>
      </c>
      <c r="K7" s="17" t="inlineStr">
        <is>
          <t>Total Docs Tested</t>
        </is>
      </c>
      <c r="L7" s="19">
        <f>COUNTA(A2:A36)</f>
        <v/>
      </c>
      <c r="N7" s="17" t="inlineStr">
        <is>
          <t>Total Docs Tested</t>
        </is>
      </c>
      <c r="O7" s="19">
        <f>COUNTA(A2:A36)</f>
        <v/>
      </c>
    </row>
    <row r="8">
      <c r="A8" s="14" t="inlineStr">
        <is>
          <t>20260629 HOK ADHDcentraal BV (1).pdf</t>
        </is>
      </c>
      <c r="B8" s="35" t="n">
        <v>56347.35</v>
      </c>
      <c r="C8" s="36" t="inlineStr">
        <is>
          <t>40568.85</t>
        </is>
      </c>
      <c r="D8" s="26" t="n"/>
      <c r="E8" s="14" t="n"/>
      <c r="F8" s="14" t="n"/>
      <c r="G8" s="14" t="n"/>
      <c r="H8" s="14" t="n">
        <v>0.9530892448512585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28" t="n">
        <v>272804</v>
      </c>
      <c r="C9" s="15" t="inlineStr">
        <is>
          <t>272804</t>
        </is>
      </c>
      <c r="D9" s="14" t="n"/>
      <c r="E9" s="14" t="n"/>
      <c r="F9" s="14" t="n"/>
      <c r="G9" s="14" t="n"/>
      <c r="H9" s="14" t="n">
        <v>0.9189189189189189</v>
      </c>
      <c r="K9" s="17" t="inlineStr">
        <is>
          <t>No Of Docs With Response</t>
        </is>
      </c>
      <c r="L9" s="19">
        <f>COUNTIFS(C2:C36,"&lt;&gt;")</f>
        <v/>
      </c>
      <c r="N9" s="17" t="inlineStr">
        <is>
          <t>No Of Docs With Response Pg</t>
        </is>
      </c>
      <c r="O9" s="19">
        <f>COUNTIFS(F2:F36,"&lt;&gt;")</f>
        <v/>
      </c>
    </row>
    <row r="10">
      <c r="A10" s="14" t="inlineStr">
        <is>
          <t>20260810 HOK ClustR BV.pdf</t>
        </is>
      </c>
      <c r="B10" s="35" t="n">
        <v>39901.6</v>
      </c>
      <c r="C10" s="36" t="inlineStr">
        <is>
          <t>22388</t>
        </is>
      </c>
      <c r="D10" s="26" t="n"/>
      <c r="E10" s="14" t="n"/>
      <c r="F10" s="14" t="n"/>
      <c r="G10" s="14" t="n"/>
      <c r="H10" s="14" t="n">
        <v>0.950706255405016</v>
      </c>
      <c r="K10" s="20" t="inlineStr">
        <is>
          <t>Highlighted rows = file(s) not in the annotation sheet; excluded from all metrics above.</t>
        </is>
      </c>
    </row>
    <row r="11">
      <c r="A11" s="14" t="inlineStr">
        <is>
          <t>20270801 - Getekende Allonge II Advario BV.pdf</t>
        </is>
      </c>
      <c r="B11" s="28" t="n">
        <v>293050.69</v>
      </c>
      <c r="C11" s="15" t="inlineStr">
        <is>
          <t>291685</t>
        </is>
      </c>
      <c r="D11" s="14" t="n"/>
      <c r="E11" s="14" t="inlineStr">
        <is>
          <t>3</t>
        </is>
      </c>
      <c r="F11" s="14" t="n"/>
      <c r="G11" s="14" t="n"/>
      <c r="H11" s="14" t="n">
        <v>0.4850144092219021</v>
      </c>
      <c r="K11" s="17" t="inlineStr">
        <is>
          <t>Validation Rules Example</t>
        </is>
      </c>
    </row>
    <row r="12">
      <c r="A12" s="14" t="inlineStr">
        <is>
          <t>240119 HOVK Spoorlaan 446-448 Tilburg signed.pdf</t>
        </is>
      </c>
      <c r="B12" s="28" t="n">
        <v>405000</v>
      </c>
      <c r="C12" s="15" t="inlineStr">
        <is>
          <t>405000</t>
        </is>
      </c>
      <c r="D12" s="14" t="n"/>
      <c r="E12" s="14" t="n"/>
      <c r="F12" s="14" t="n"/>
      <c r="G12" s="14" t="n"/>
      <c r="H12" s="14" t="n">
        <v>0.9389448725548312</v>
      </c>
      <c r="K12" s="16" t="inlineStr">
        <is>
          <t>Manual Data</t>
        </is>
      </c>
      <c r="L12" s="16" t="inlineStr">
        <is>
          <t>Response Data</t>
        </is>
      </c>
      <c r="M12" s="16" t="inlineStr">
        <is>
          <t>Result</t>
        </is>
      </c>
    </row>
    <row r="13">
      <c r="A13" s="14" t="inlineStr">
        <is>
          <t>27001 Rijksvastgoedbedrijf Huurovereenkomst - __27-01-2026_9-07-56.pdf</t>
        </is>
      </c>
      <c r="B13" s="28" t="n">
        <v>797968.38</v>
      </c>
      <c r="C13" s="15" t="inlineStr">
        <is>
          <t>797968.38</t>
        </is>
      </c>
      <c r="D13" s="14" t="n"/>
      <c r="E13" s="14" t="n"/>
      <c r="F13" s="14" t="n"/>
      <c r="G13" s="14" t="n"/>
      <c r="H13" s="14" t="n">
        <v>0.955435708203236</v>
      </c>
      <c r="K13" t="n">
        <v>100</v>
      </c>
      <c r="L13" t="n">
        <v>100</v>
      </c>
      <c r="M13" t="inlineStr">
        <is>
          <t>TP</t>
        </is>
      </c>
    </row>
    <row r="14">
      <c r="A14" s="14" t="inlineStr">
        <is>
          <t>CBRE_AT_Services_ENG_-_RITUALS_CBRE signed.pdf</t>
        </is>
      </c>
      <c r="B14" s="28" t="inlineStr">
        <is>
          <t>i dont know</t>
        </is>
      </c>
      <c r="C14" s="15" t="inlineStr">
        <is>
          <t>500000</t>
        </is>
      </c>
      <c r="D14" s="14" t="n"/>
      <c r="E14" s="14" t="n"/>
      <c r="F14" s="14" t="n"/>
      <c r="G14" s="14" t="n"/>
      <c r="H14" s="14" t="n">
        <v>0.903565939133108</v>
      </c>
      <c r="L14" t="n">
        <v>100</v>
      </c>
      <c r="M14" t="inlineStr">
        <is>
          <t>FP</t>
        </is>
      </c>
    </row>
    <row r="15">
      <c r="A15" s="14" t="inlineStr">
        <is>
          <t>CBRE_Engagement_Letter_Alnylam_20260525_CLEAN_Version_signed all.pdf</t>
        </is>
      </c>
      <c r="B15" s="35" t="inlineStr">
        <is>
          <t>i dont know</t>
        </is>
      </c>
      <c r="C15" s="36" t="n"/>
      <c r="D15" s="26" t="n"/>
      <c r="E15" s="14" t="n"/>
      <c r="F15" s="14" t="n"/>
      <c r="G15" s="14" t="n"/>
      <c r="H15" s="14" t="n"/>
      <c r="K15" t="n">
        <v>100</v>
      </c>
      <c r="L15" t="n">
        <v>200</v>
      </c>
      <c r="M15" t="inlineStr">
        <is>
          <t>FP</t>
        </is>
      </c>
    </row>
    <row r="16">
      <c r="A16" s="14" t="inlineStr">
        <is>
          <t>COMPL DEF Huurovereenkomst - Skybox - Pepperl+Fuchs - 20260204.pdf</t>
        </is>
      </c>
      <c r="B16" s="35" t="n">
        <v>64330</v>
      </c>
      <c r="C16" s="36" t="inlineStr">
        <is>
          <t>58830</t>
        </is>
      </c>
      <c r="D16" s="26" t="n"/>
      <c r="E16" s="14" t="n"/>
      <c r="F16" s="14" t="n"/>
      <c r="G16" s="14" t="n"/>
      <c r="H16" s="14" t="n">
        <v>0.955435708203236</v>
      </c>
      <c r="K16" t="n">
        <v>100</v>
      </c>
      <c r="M16" t="inlineStr">
        <is>
          <t>FN</t>
        </is>
      </c>
    </row>
    <row r="17">
      <c r="A17" s="14" t="inlineStr">
        <is>
          <t>COMPL Huurovereenkomst - Stichting CCE - Kantoorgebouw Metzpoint I Dr. Holtroplaan - Fully Signed.pdf</t>
        </is>
      </c>
      <c r="B17" s="28" t="n">
        <v>45114</v>
      </c>
      <c r="C17" s="15" t="inlineStr">
        <is>
          <t>45114</t>
        </is>
      </c>
      <c r="D17" s="14" t="n"/>
      <c r="E17" s="14" t="n"/>
      <c r="F17" s="14" t="n"/>
      <c r="G17" s="14" t="n"/>
      <c r="H17" s="14" t="n">
        <v>0.955435708203236</v>
      </c>
      <c r="M17" t="inlineStr">
        <is>
          <t>TN</t>
        </is>
      </c>
    </row>
    <row r="18">
      <c r="A18" s="14" t="inlineStr">
        <is>
          <t>COMPL Regel Partners - HOVK - Luchthavenweg 81 - 20260728.pdf</t>
        </is>
      </c>
      <c r="B18" s="28" t="n">
        <v>51505.5</v>
      </c>
      <c r="C18" s="15" t="inlineStr">
        <is>
          <t>51505.5</t>
        </is>
      </c>
      <c r="D18" s="14" t="n"/>
      <c r="E18" s="14" t="n"/>
      <c r="F18" s="14" t="n"/>
      <c r="G18" s="14" t="n"/>
      <c r="H18" s="14" t="n">
        <v>0.955435708203236</v>
      </c>
    </row>
    <row r="19">
      <c r="A19" s="14" t="inlineStr">
        <is>
          <t>COMPL_-_Onderhuurovereenkomst_Zelfstroom_B.V._-_50five_B.V._-_kantoorgebouw_Riva_-_05032026.pdf</t>
        </is>
      </c>
      <c r="B19" s="28" t="n">
        <v>211447.56</v>
      </c>
      <c r="C19" s="15" t="inlineStr">
        <is>
          <t>211447.56</t>
        </is>
      </c>
      <c r="D19" s="14" t="n"/>
      <c r="E19" s="14" t="n"/>
      <c r="F19" s="14" t="n"/>
      <c r="G19" s="14" t="n"/>
      <c r="H19" s="14" t="n">
        <v>0.9458272327964862</v>
      </c>
      <c r="K19" s="17" t="inlineStr">
        <is>
          <t>Field:</t>
        </is>
      </c>
      <c r="L19" t="inlineStr">
        <is>
          <t>Terms / Asking_Rent_Yearly</t>
        </is>
      </c>
    </row>
    <row r="20">
      <c r="A20" s="14" t="inlineStr">
        <is>
          <t>Den Bosch, Ruwekampweg 4, HOVK getekend.pdf</t>
        </is>
      </c>
      <c r="B20" s="28" t="n">
        <v>95000</v>
      </c>
      <c r="C20" s="15" t="inlineStr">
        <is>
          <t>95000</t>
        </is>
      </c>
      <c r="D20" s="14" t="n"/>
      <c r="E20" s="14" t="n"/>
      <c r="F20" s="14" t="n"/>
      <c r="G20" s="14" t="n"/>
      <c r="H20" s="14" t="n">
        <v>0.9189189189189189</v>
      </c>
    </row>
    <row r="21">
      <c r="A21" s="14" t="inlineStr">
        <is>
          <t>FULLY SIGNED - COMPL Huurovereenkomst - Heijmans - Hugo de Grootlaan 23 's-Hertogenbosch V2 30-9-2025.pdf</t>
        </is>
      </c>
      <c r="B21" s="28" t="n">
        <v>64427.84</v>
      </c>
      <c r="C21" s="15" t="inlineStr">
        <is>
          <t>64427.84</t>
        </is>
      </c>
      <c r="D21" s="14" t="n"/>
      <c r="E21" s="14" t="n"/>
      <c r="F21" s="14" t="n"/>
      <c r="G21" s="14" t="n"/>
      <c r="H21" s="14" t="n">
        <v>0.955435708203236</v>
      </c>
    </row>
    <row r="22">
      <c r="A22" s="14" t="inlineStr">
        <is>
          <t>FULLY SIGNED - DEF_COMPL_Huurovereenkomst_Robo_Charge_-_Campus_Offices_-_20260220.pdf</t>
        </is>
      </c>
      <c r="B22" s="28" t="n">
        <v>55544</v>
      </c>
      <c r="C22" s="15" t="inlineStr">
        <is>
          <t>55544</t>
        </is>
      </c>
      <c r="D22" s="14" t="n"/>
      <c r="E22" s="14" t="n"/>
      <c r="F22" s="14" t="n"/>
      <c r="G22" s="14" t="n"/>
      <c r="H22" s="14" t="n">
        <v>0.9189189189189189</v>
      </c>
    </row>
    <row r="23">
      <c r="A23" s="14" t="inlineStr">
        <is>
          <t>FULLY SIGNED - Onderhuurovereenkomst Aartshertogenlaan 223, `s-Hertogenbosch - Koning Willem I College B.V. 2606202.pdf</t>
        </is>
      </c>
      <c r="B23" s="28" t="n">
        <v>114176.88</v>
      </c>
      <c r="C23" s="15" t="inlineStr">
        <is>
          <t>114176.88</t>
        </is>
      </c>
      <c r="D23" s="14" t="n"/>
      <c r="E23" s="14" t="n"/>
      <c r="F23" s="14" t="n"/>
      <c r="G23" s="14" t="n"/>
      <c r="H23" s="14" t="n">
        <v>0.941090591970598</v>
      </c>
    </row>
    <row r="24">
      <c r="A24" s="14" t="inlineStr">
        <is>
          <t>FULLY SIGNED COMPL_DEF_Huurovereenkomst_Bond_Bergschot_Breda.pdf</t>
        </is>
      </c>
      <c r="B24" s="28" t="n">
        <v>180178.2</v>
      </c>
      <c r="C24" s="15" t="inlineStr">
        <is>
          <t>180178.2</t>
        </is>
      </c>
      <c r="D24" s="14" t="n"/>
      <c r="E24" s="14" t="n"/>
      <c r="F24" s="14" t="n"/>
      <c r="G24" s="14" t="n"/>
      <c r="H24" s="14" t="n">
        <v>0.9189189189189189</v>
      </c>
    </row>
    <row r="25">
      <c r="A25" s="14" t="inlineStr">
        <is>
          <t>FullySigned_Allonge_II_Virtual_Vaults_Nederland.pdf</t>
        </is>
      </c>
      <c r="B25" s="35" t="n">
        <v>231866.6</v>
      </c>
      <c r="C25" s="36" t="inlineStr">
        <is>
          <t>191575</t>
        </is>
      </c>
      <c r="D25" s="26" t="n"/>
      <c r="E25" s="14" t="n"/>
      <c r="F25" s="14" t="n"/>
      <c r="G25" s="14" t="n"/>
      <c r="H25" s="14" t="n">
        <v>0.955435708203236</v>
      </c>
    </row>
    <row r="26">
      <c r="A26" s="14" t="inlineStr">
        <is>
          <t>FullySigned_Lease_Agreement_Neste_EDGE_Coolsingel.pdf</t>
        </is>
      </c>
      <c r="B26" s="28" t="n">
        <v>453900</v>
      </c>
      <c r="C26" s="15" t="inlineStr">
        <is>
          <t>453900</t>
        </is>
      </c>
      <c r="D26" s="14" t="n"/>
      <c r="E26" s="14" t="n"/>
      <c r="F26" s="14" t="n"/>
      <c r="G26" s="14" t="n"/>
      <c r="H26" s="14" t="n">
        <v>0.9189189189189189</v>
      </c>
    </row>
    <row r="27">
      <c r="A27" s="14" t="inlineStr">
        <is>
          <t>HOK Waalhaven Group (signed).pdf</t>
        </is>
      </c>
      <c r="B27" s="28" t="n">
        <v>128490</v>
      </c>
      <c r="C27" s="15" t="inlineStr">
        <is>
          <t>128490</t>
        </is>
      </c>
      <c r="D27" s="14" t="n"/>
      <c r="E27" s="14" t="n"/>
      <c r="F27" s="14" t="n"/>
      <c r="G27" s="14" t="n"/>
      <c r="H27" s="14" t="n">
        <v>0.955435708203236</v>
      </c>
    </row>
    <row r="28">
      <c r="A28" s="14" t="inlineStr">
        <is>
          <t>Hovk Avans  (3e+4e+5e verd.) 20140425.pdf</t>
        </is>
      </c>
      <c r="B28" s="28" t="n">
        <v>200430</v>
      </c>
      <c r="C28" s="15" t="inlineStr">
        <is>
          <t>200430</t>
        </is>
      </c>
      <c r="D28" s="14" t="n"/>
      <c r="E28" s="14" t="n"/>
      <c r="F28" s="14" t="n"/>
      <c r="G28" s="14" t="n"/>
      <c r="H28" s="14" t="n">
        <v>0.955435708203236</v>
      </c>
    </row>
    <row r="29">
      <c r="A29" s="14" t="inlineStr">
        <is>
          <t>HOVK Power4People 2025.pdf</t>
        </is>
      </c>
      <c r="B29" s="28" t="n">
        <v>24240</v>
      </c>
      <c r="C29" s="15" t="inlineStr">
        <is>
          <t>25200</t>
        </is>
      </c>
      <c r="D29" s="14" t="n"/>
      <c r="E29" s="14" t="n"/>
      <c r="F29" s="14" t="n"/>
      <c r="G29" s="14" t="n"/>
      <c r="H29" s="14" t="n">
        <v>0.7034482758620689</v>
      </c>
    </row>
    <row r="30">
      <c r="A30" s="14" t="inlineStr">
        <is>
          <t>Huurovereenkomst (Semmie Group B.V.) - Wilhelminasingel 19, Breda.pdf</t>
        </is>
      </c>
      <c r="B30" s="28" t="n">
        <v>29469.55</v>
      </c>
      <c r="C30" s="15" t="inlineStr">
        <is>
          <t>29469.55</t>
        </is>
      </c>
      <c r="D30" s="14" t="n"/>
      <c r="E30" s="14" t="n"/>
      <c r="F30" s="14" t="n"/>
      <c r="G30" s="14" t="n"/>
      <c r="H30" s="14" t="n">
        <v>0.9189189189189189</v>
      </c>
    </row>
    <row r="31">
      <c r="A31" s="14" t="inlineStr">
        <is>
          <t>Huurovereenkomst - proces-verbaal van oplevering - sleuteloverdracht - Kennedyplein 101 - getekend.pdf</t>
        </is>
      </c>
      <c r="B31" s="28" t="n">
        <v>72162</v>
      </c>
      <c r="C31" s="15" t="inlineStr">
        <is>
          <t>72162</t>
        </is>
      </c>
      <c r="D31" s="14" t="n"/>
      <c r="E31" s="14" t="n"/>
      <c r="F31" s="14" t="n"/>
      <c r="G31" s="14" t="n"/>
      <c r="H31" s="14" t="n">
        <v>0.955435708203236</v>
      </c>
    </row>
    <row r="32">
      <c r="A32" s="14" t="inlineStr">
        <is>
          <t>Huurovereenkomst Bijster 5 te Breda getekend.pdf</t>
        </is>
      </c>
      <c r="B32" s="28" t="n">
        <v>63725</v>
      </c>
      <c r="C32" s="15" t="inlineStr">
        <is>
          <t>63725</t>
        </is>
      </c>
      <c r="D32" s="14" t="n"/>
      <c r="E32" s="14" t="n"/>
      <c r="F32" s="14" t="n"/>
      <c r="G32" s="14" t="n"/>
      <c r="H32" s="14" t="n">
        <v>0.955435708203236</v>
      </c>
    </row>
    <row r="33">
      <c r="A33" s="14" t="inlineStr">
        <is>
          <t>Huurovereenkomst Catena Pand Son - Skymark (Son en Breugel - NLD).pdf</t>
        </is>
      </c>
      <c r="B33" s="28" t="n">
        <v>241850</v>
      </c>
      <c r="C33" s="15" t="inlineStr">
        <is>
          <t>241850</t>
        </is>
      </c>
      <c r="D33" s="14" t="n"/>
      <c r="E33" s="14" t="n"/>
      <c r="F33" s="14" t="n"/>
      <c r="G33" s="14" t="n"/>
      <c r="H33" s="14" t="n">
        <v>0.955435708203236</v>
      </c>
    </row>
    <row r="34">
      <c r="A34" s="14" t="inlineStr">
        <is>
          <t>Huurovereenkomst KPN Opstelpunt Parallelweg 64 20130313.pdf</t>
        </is>
      </c>
      <c r="B34" s="28" t="n">
        <v>4275</v>
      </c>
      <c r="C34" s="15" t="inlineStr">
        <is>
          <t>4275</t>
        </is>
      </c>
      <c r="D34" s="14" t="n"/>
      <c r="E34" s="14" t="n"/>
      <c r="F34" s="14" t="n"/>
      <c r="G34" s="14" t="n"/>
      <c r="H34" s="14" t="n">
        <v>0.9189189189189189</v>
      </c>
    </row>
    <row r="35">
      <c r="A35" s="14" t="inlineStr">
        <is>
          <t>Huurovereenkomst PBG Parallelweg 64 (beg.grond) 20121008.pdf</t>
        </is>
      </c>
      <c r="B35" s="28" t="n">
        <v>98630</v>
      </c>
      <c r="C35" s="15" t="inlineStr">
        <is>
          <t>98630</t>
        </is>
      </c>
      <c r="D35" s="14" t="n"/>
      <c r="E35" s="14" t="n"/>
      <c r="F35" s="14" t="n"/>
      <c r="G35" s="14" t="n"/>
      <c r="H35" s="14" t="n">
        <v>0.9189189189189189</v>
      </c>
    </row>
    <row r="36">
      <c r="A36" s="14" t="inlineStr">
        <is>
          <t>MWO CBRE SPA (ITALY) CBRE_090724.pdf</t>
        </is>
      </c>
      <c r="B36" s="35" t="inlineStr">
        <is>
          <t>i dont know</t>
        </is>
      </c>
      <c r="C36" s="36" t="n"/>
      <c r="D36" s="26"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2300</t>
        </is>
      </c>
      <c r="C4" s="15" t="inlineStr">
        <is>
          <t>2300</t>
        </is>
      </c>
      <c r="D4" s="14" t="n"/>
      <c r="E4" s="14" t="n"/>
      <c r="F4" s="14" t="n"/>
      <c r="G4" s="14" t="n"/>
      <c r="H4" s="14" t="n">
        <v>0.9622852041954921</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500</t>
        </is>
      </c>
      <c r="C5" s="15" t="inlineStr">
        <is>
          <t>500</t>
        </is>
      </c>
      <c r="D5" s="14" t="n"/>
      <c r="E5" s="14" t="n"/>
      <c r="F5" s="14" t="n"/>
      <c r="G5" s="14" t="n"/>
      <c r="H5" s="14" t="n">
        <v>0.9622852041954921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750</t>
        </is>
      </c>
      <c r="C7" s="15" t="inlineStr">
        <is>
          <t>750</t>
        </is>
      </c>
      <c r="D7" s="14" t="n"/>
      <c r="E7" s="14" t="n"/>
      <c r="F7" s="14" t="n"/>
      <c r="G7" s="14" t="n"/>
      <c r="H7" s="14" t="n">
        <v>0.9646772228989037</v>
      </c>
      <c r="K7" s="17" t="inlineStr">
        <is>
          <t>Total Docs Tested</t>
        </is>
      </c>
      <c r="L7" s="19">
        <f>COUNTA(A2:A36)</f>
        <v/>
      </c>
      <c r="N7" s="17" t="inlineStr">
        <is>
          <t>Total Docs Tested</t>
        </is>
      </c>
      <c r="O7" s="19">
        <f>COUNTA(A2:A36)</f>
        <v/>
      </c>
    </row>
    <row r="8">
      <c r="A8" s="14" t="inlineStr">
        <is>
          <t>20260629 HOK ADHDcentraal BV (1).pdf</t>
        </is>
      </c>
      <c r="B8" s="14" t="inlineStr">
        <is>
          <t>750</t>
        </is>
      </c>
      <c r="C8" s="15" t="inlineStr">
        <is>
          <t>750</t>
        </is>
      </c>
      <c r="D8" s="14" t="n"/>
      <c r="E8" s="14" t="n"/>
      <c r="F8" s="14" t="n"/>
      <c r="G8" s="14" t="n"/>
      <c r="H8" s="14" t="n">
        <v>0.9548829240434037</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750</t>
        </is>
      </c>
      <c r="C10" s="15" t="inlineStr">
        <is>
          <t>750</t>
        </is>
      </c>
      <c r="D10" s="14" t="n"/>
      <c r="E10" s="14" t="n"/>
      <c r="F10" s="14" t="n"/>
      <c r="G10" s="14" t="n"/>
      <c r="H10" s="14" t="n">
        <v>0.9646772228989037</v>
      </c>
      <c r="K10" s="20" t="inlineStr">
        <is>
          <t>Highlighted rows = file(s) not in the annotation sheet; excluded from all metrics above.</t>
        </is>
      </c>
    </row>
    <row r="11">
      <c r="A11" s="14" t="inlineStr">
        <is>
          <t>20270801 - Getekende Allonge II Advario BV.pdf</t>
        </is>
      </c>
      <c r="B11" s="14" t="n"/>
      <c r="C11" s="15" t="n"/>
      <c r="D11" s="14" t="n"/>
      <c r="E11" s="14" t="n"/>
      <c r="F11" s="14" t="n"/>
      <c r="G11" s="14" t="n"/>
      <c r="H11" s="14" t="n"/>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inlineStr">
        <is>
          <t>1130.48</t>
        </is>
      </c>
      <c r="C13" s="15" t="inlineStr">
        <is>
          <t>1130.48</t>
        </is>
      </c>
      <c r="D13" s="14" t="n"/>
      <c r="E13" s="14" t="n"/>
      <c r="F13" s="14" t="n"/>
      <c r="G13" s="14" t="n"/>
      <c r="H13" s="14" t="n">
        <v>0.9622852041954921</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550</t>
        </is>
      </c>
      <c r="C16" s="15" t="inlineStr">
        <is>
          <t>550</t>
        </is>
      </c>
      <c r="D16" s="14" t="n"/>
      <c r="E16" s="14" t="n"/>
      <c r="F16" s="14" t="n"/>
      <c r="G16" s="14" t="n"/>
      <c r="H16" s="14" t="n">
        <v>0.9622852041954921</v>
      </c>
      <c r="K16" t="n">
        <v>100</v>
      </c>
      <c r="M16" t="inlineStr">
        <is>
          <t>FN</t>
        </is>
      </c>
    </row>
    <row r="17">
      <c r="A17" s="14" t="inlineStr">
        <is>
          <t>COMPL Huurovereenkomst - Stichting CCE - Kantoorgebouw Metzpoint I Dr. Holtroplaan - Fully Signed.pdf</t>
        </is>
      </c>
      <c r="B17" s="14" t="inlineStr">
        <is>
          <t>650</t>
        </is>
      </c>
      <c r="C17" s="15" t="inlineStr">
        <is>
          <t>650</t>
        </is>
      </c>
      <c r="D17" s="14" t="n"/>
      <c r="E17" s="14" t="n"/>
      <c r="F17" s="14" t="n"/>
      <c r="G17" s="14" t="n"/>
      <c r="H17" s="14" t="n">
        <v>0.9646772228989037</v>
      </c>
      <c r="M17" t="inlineStr">
        <is>
          <t>TN</t>
        </is>
      </c>
    </row>
    <row r="18">
      <c r="A18" s="14" t="inlineStr">
        <is>
          <t>COMPL Regel Partners - HOVK - Luchthavenweg 81 - 20260728.pdf</t>
        </is>
      </c>
      <c r="B18" s="14" t="inlineStr">
        <is>
          <t>750</t>
        </is>
      </c>
      <c r="C18" s="15" t="inlineStr">
        <is>
          <t>750</t>
        </is>
      </c>
      <c r="D18" s="14" t="n"/>
      <c r="E18" s="14" t="n"/>
      <c r="F18" s="14" t="n"/>
      <c r="G18" s="14" t="n"/>
      <c r="H18" s="14" t="n">
        <v>0.9361702127659575</v>
      </c>
    </row>
    <row r="19">
      <c r="A19" s="14" t="inlineStr">
        <is>
          <t>COMPL_-_Onderhuurovereenkomst_Zelfstroom_B.V._-_50five_B.V._-_kantoorgebouw_Riva_-_05032026.pdf</t>
        </is>
      </c>
      <c r="B19" s="14" t="inlineStr">
        <is>
          <t>1600</t>
        </is>
      </c>
      <c r="C19" s="15" t="inlineStr">
        <is>
          <t>1600</t>
        </is>
      </c>
      <c r="D19" s="14" t="n"/>
      <c r="E19" s="14" t="n"/>
      <c r="F19" s="14" t="n"/>
      <c r="G19" s="14" t="n"/>
      <c r="H19" s="14" t="n">
        <v>0.9622852041954921</v>
      </c>
      <c r="K19" s="17" t="inlineStr">
        <is>
          <t>Field:</t>
        </is>
      </c>
      <c r="L19" t="inlineStr">
        <is>
          <t>Terms / Cost_per_Reserved_Parking_Space</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inlineStr">
        <is>
          <t>1813.92</t>
        </is>
      </c>
      <c r="C21" s="15" t="inlineStr">
        <is>
          <t>1813.92</t>
        </is>
      </c>
      <c r="D21" s="14" t="n"/>
      <c r="E21" s="14" t="n"/>
      <c r="F21" s="14" t="n"/>
      <c r="G21" s="14" t="n"/>
      <c r="H21" s="14" t="n">
        <v>0.9622852041954921</v>
      </c>
    </row>
    <row r="22">
      <c r="A22" s="14" t="inlineStr">
        <is>
          <t>FULLY SIGNED - DEF_COMPL_Huurovereenkomst_Robo_Charge_-_Campus_Offices_-_20260220.pdf</t>
        </is>
      </c>
      <c r="B22" s="14" t="inlineStr">
        <is>
          <t>750</t>
        </is>
      </c>
      <c r="C22" s="15" t="inlineStr">
        <is>
          <t>750</t>
        </is>
      </c>
      <c r="D22" s="14" t="n"/>
      <c r="E22" s="14" t="n"/>
      <c r="F22" s="14" t="n"/>
      <c r="G22" s="14" t="n"/>
      <c r="H22" s="14" t="n">
        <v>0.9646772228989037</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inlineStr">
        <is>
          <t>750</t>
        </is>
      </c>
      <c r="C24" s="15" t="inlineStr">
        <is>
          <t>750</t>
        </is>
      </c>
      <c r="D24" s="14" t="n"/>
      <c r="E24" s="14" t="n"/>
      <c r="F24" s="14" t="n"/>
      <c r="G24" s="14" t="n"/>
      <c r="H24" s="14" t="n">
        <v>0.9622852041954921</v>
      </c>
    </row>
    <row r="25">
      <c r="A25" s="14" t="inlineStr">
        <is>
          <t>FullySigned_Allonge_II_Virtual_Vaults_Nederland.pdf</t>
        </is>
      </c>
      <c r="B25" s="14" t="inlineStr">
        <is>
          <t>1200</t>
        </is>
      </c>
      <c r="C25" s="15" t="inlineStr">
        <is>
          <t>1200</t>
        </is>
      </c>
      <c r="D25" s="14" t="n"/>
      <c r="E25" s="14" t="n"/>
      <c r="F25" s="14" t="n"/>
      <c r="G25" s="14" t="n"/>
      <c r="H25" s="14" t="n">
        <v>0.9646772228989037</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inlineStr">
        <is>
          <t>950</t>
        </is>
      </c>
      <c r="C27" s="15" t="inlineStr">
        <is>
          <t>950</t>
        </is>
      </c>
      <c r="D27" s="14" t="n"/>
      <c r="E27" s="14" t="n"/>
      <c r="F27" s="14" t="n"/>
      <c r="G27" s="14" t="n"/>
      <c r="H27" s="14" t="n">
        <v>0.9646772228989037</v>
      </c>
    </row>
    <row r="28">
      <c r="A28" s="14" t="inlineStr">
        <is>
          <t>Hovk Avans  (3e+4e+5e verd.) 20140425.pdf</t>
        </is>
      </c>
      <c r="B28" s="14" t="inlineStr">
        <is>
          <t>350</t>
        </is>
      </c>
      <c r="C28" s="15" t="inlineStr">
        <is>
          <t>350</t>
        </is>
      </c>
      <c r="D28" s="14" t="n"/>
      <c r="E28" s="14" t="n"/>
      <c r="F28" s="14" t="n"/>
      <c r="G28" s="14" t="n"/>
      <c r="H28" s="14" t="n">
        <v>0.9646772228989037</v>
      </c>
    </row>
    <row r="29">
      <c r="A29" s="14" t="inlineStr">
        <is>
          <t>HOVK Power4People 2025.pdf</t>
        </is>
      </c>
      <c r="B29" s="14" t="inlineStr">
        <is>
          <t>130</t>
        </is>
      </c>
      <c r="C29" s="15" t="inlineStr">
        <is>
          <t>130</t>
        </is>
      </c>
      <c r="D29" s="14" t="n"/>
      <c r="E29" s="14" t="n"/>
      <c r="F29" s="14" t="n"/>
      <c r="G29" s="14" t="n"/>
      <c r="H29" s="14" t="n">
        <v>0.955435708203236</v>
      </c>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inlineStr">
        <is>
          <t>0</t>
        </is>
      </c>
      <c r="C31" s="15" t="inlineStr">
        <is>
          <t>0</t>
        </is>
      </c>
      <c r="D31" s="14" t="n"/>
      <c r="E31" s="14" t="n"/>
      <c r="F31" s="14" t="n"/>
      <c r="G31" s="14" t="n"/>
      <c r="H31" s="14" t="n">
        <v>0.9136612021857923</v>
      </c>
    </row>
    <row r="32">
      <c r="A32" s="14" t="inlineStr">
        <is>
          <t>Huurovereenkomst Bijster 5 te Breda getekend.pdf</t>
        </is>
      </c>
      <c r="B32" s="14" t="inlineStr">
        <is>
          <t>500</t>
        </is>
      </c>
      <c r="C32" s="15" t="inlineStr">
        <is>
          <t>500</t>
        </is>
      </c>
      <c r="D32" s="14" t="n"/>
      <c r="E32" s="14" t="n"/>
      <c r="F32" s="14" t="n"/>
      <c r="G32" s="14" t="n"/>
      <c r="H32" s="14" t="n">
        <v>0.287325820676139</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inlineStr">
        <is>
          <t>750</t>
        </is>
      </c>
      <c r="C35" s="15" t="inlineStr">
        <is>
          <t>750</t>
        </is>
      </c>
      <c r="D35" s="14" t="n"/>
      <c r="E35" s="14" t="n"/>
      <c r="F35" s="14" t="n"/>
      <c r="G35" s="14" t="n"/>
      <c r="H35" s="14" t="n">
        <v>0.8759615737624672</v>
      </c>
    </row>
    <row r="36">
      <c r="A36" s="14" t="inlineStr">
        <is>
          <t>MWO CBRE SPA (ITALY) CBRE_090724.pdf</t>
        </is>
      </c>
      <c r="B36" s="14" t="inlineStr">
        <is>
          <t>20000</t>
        </is>
      </c>
      <c r="C36" s="15" t="inlineStr">
        <is>
          <t>20000</t>
        </is>
      </c>
      <c r="D36" s="14" t="n"/>
      <c r="E36" s="14" t="n"/>
      <c r="F36" s="14" t="n"/>
      <c r="G36" s="14" t="n"/>
      <c r="H36" s="14" t="n">
        <v>0.8647398843930636</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583.33</t>
        </is>
      </c>
      <c r="C2" s="15" t="inlineStr">
        <is>
          <t>583.33</t>
        </is>
      </c>
      <c r="D2" s="14" t="n"/>
      <c r="E2" s="14" t="n"/>
      <c r="F2" s="14" t="n"/>
      <c r="G2" s="14" t="n"/>
      <c r="H2" s="14" t="n">
        <v>0.9530892448512585</v>
      </c>
      <c r="K2" s="16" t="inlineStr">
        <is>
          <t>Metrics</t>
        </is>
      </c>
      <c r="L2" s="16" t="inlineStr">
        <is>
          <t>Percentage</t>
        </is>
      </c>
      <c r="N2" s="16" t="inlineStr">
        <is>
          <t>Metrics</t>
        </is>
      </c>
      <c r="O2" s="16" t="inlineStr">
        <is>
          <t>Percentage</t>
        </is>
      </c>
    </row>
    <row r="3">
      <c r="A3" s="14" t="inlineStr">
        <is>
          <t>2024.10.30_Office Rental Agreement Labs_Gruyter Fabriek.pdf</t>
        </is>
      </c>
      <c r="B3" s="14" t="n">
        <v>8687.75</v>
      </c>
      <c r="C3" s="15" t="inlineStr">
        <is>
          <t>8835</t>
        </is>
      </c>
      <c r="D3" s="14" t="n"/>
      <c r="E3" s="14" t="inlineStr">
        <is>
          <t>9</t>
        </is>
      </c>
      <c r="F3" s="14" t="n"/>
      <c r="G3" s="14" t="n"/>
      <c r="H3" s="14" t="n">
        <v>0.9103825136612022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v>59465.83</v>
      </c>
      <c r="C4" s="15" t="inlineStr">
        <is>
          <t>65453.21</t>
        </is>
      </c>
      <c r="D4" s="14" t="n"/>
      <c r="E4" s="14" t="inlineStr">
        <is>
          <t>4, 8</t>
        </is>
      </c>
      <c r="F4" s="14" t="n"/>
      <c r="G4" s="14" t="n"/>
      <c r="H4" s="14" t="n">
        <v>0.9060439560439562</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982.33</t>
        </is>
      </c>
      <c r="C5" s="15" t="inlineStr">
        <is>
          <t>982.33</t>
        </is>
      </c>
      <c r="D5" s="14" t="n"/>
      <c r="E5" s="14" t="n"/>
      <c r="F5" s="14" t="n"/>
      <c r="G5" s="14" t="n"/>
      <c r="H5" s="14" t="n">
        <v>0.6857249766136575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245000</t>
        </is>
      </c>
      <c r="C6" s="15" t="inlineStr">
        <is>
          <t>245000</t>
        </is>
      </c>
      <c r="D6" s="14" t="n"/>
      <c r="E6" s="14" t="n"/>
      <c r="F6" s="14" t="n"/>
      <c r="G6" s="14" t="n"/>
      <c r="H6" s="14" t="n">
        <v>0.955435708203236</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2267.92</t>
        </is>
      </c>
      <c r="C7" s="15" t="inlineStr">
        <is>
          <t>2267.92</t>
        </is>
      </c>
      <c r="D7" s="14" t="n"/>
      <c r="E7" s="14" t="n"/>
      <c r="F7" s="14" t="n"/>
      <c r="G7" s="14" t="n"/>
      <c r="H7" s="14" t="n">
        <v>0.950706255405016</v>
      </c>
      <c r="K7" s="17" t="inlineStr">
        <is>
          <t>Total Docs Tested</t>
        </is>
      </c>
      <c r="L7" s="19">
        <f>COUNTA(A2:A36)</f>
        <v/>
      </c>
      <c r="N7" s="17" t="inlineStr">
        <is>
          <t>Total Docs Tested</t>
        </is>
      </c>
      <c r="O7" s="19">
        <f>COUNTA(A2:A36)</f>
        <v/>
      </c>
    </row>
    <row r="8">
      <c r="A8" s="14" t="inlineStr">
        <is>
          <t>20260629 HOK ADHDcentraal BV (1).pdf</t>
        </is>
      </c>
      <c r="B8" s="14" t="n">
        <v>4108.66</v>
      </c>
      <c r="C8" s="15" t="inlineStr">
        <is>
          <t>4695.61</t>
        </is>
      </c>
      <c r="D8" s="14" t="n"/>
      <c r="E8" s="14" t="inlineStr">
        <is>
          <t>3</t>
        </is>
      </c>
      <c r="F8" s="14" t="n"/>
      <c r="G8" s="14" t="n"/>
      <c r="H8" s="14" t="n">
        <v>0.2426802621995632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v>22165.33</v>
      </c>
      <c r="C9" s="15" t="inlineStr">
        <is>
          <t>22733.67</t>
        </is>
      </c>
      <c r="D9" s="14" t="n"/>
      <c r="E9" s="14" t="inlineStr">
        <is>
          <t>10</t>
        </is>
      </c>
      <c r="F9" s="14" t="n">
        <v>2</v>
      </c>
      <c r="G9" s="14" t="n"/>
      <c r="H9" s="14" t="n">
        <v>0.955435708203236</v>
      </c>
      <c r="K9" s="17" t="inlineStr">
        <is>
          <t>No Of Docs With Response</t>
        </is>
      </c>
      <c r="L9" s="19">
        <f>COUNTIFS(C2:C36,"&lt;&gt;")</f>
        <v/>
      </c>
      <c r="N9" s="17" t="inlineStr">
        <is>
          <t>No Of Docs With Response Pg</t>
        </is>
      </c>
      <c r="O9" s="19">
        <f>COUNTIFS(F2:F36,"&lt;&gt;")</f>
        <v/>
      </c>
    </row>
    <row r="10">
      <c r="A10" s="14" t="inlineStr">
        <is>
          <t>20260810 HOK ClustR BV.pdf</t>
        </is>
      </c>
      <c r="B10" s="14" t="n">
        <v>2909.49</v>
      </c>
      <c r="C10" s="15" t="inlineStr">
        <is>
          <t>3325.13</t>
        </is>
      </c>
      <c r="D10" s="14" t="n"/>
      <c r="E10" s="14" t="inlineStr">
        <is>
          <t>2</t>
        </is>
      </c>
      <c r="F10" s="14" t="n"/>
      <c r="G10" s="14" t="n"/>
      <c r="H10" s="14" t="n">
        <v>0.9530892448512585</v>
      </c>
      <c r="K10" s="20" t="inlineStr">
        <is>
          <t>Highlighted rows = file(s) not in the annotation sheet; excluded from all metrics above.</t>
        </is>
      </c>
    </row>
    <row r="11">
      <c r="A11" s="14" t="inlineStr">
        <is>
          <t>20270801 - Getekende Allonge II Advario BV.pdf</t>
        </is>
      </c>
      <c r="B11" s="14" t="n">
        <v>21990.18</v>
      </c>
      <c r="C11" s="15" t="inlineStr">
        <is>
          <t>33973.54</t>
        </is>
      </c>
      <c r="D11" s="14" t="n"/>
      <c r="E11" s="14" t="inlineStr">
        <is>
          <t>5</t>
        </is>
      </c>
      <c r="F11" s="14" t="n"/>
      <c r="G11" s="14" t="n"/>
      <c r="H11" s="14" t="n">
        <v>0.5557964970809006</v>
      </c>
      <c r="K11" s="17" t="inlineStr">
        <is>
          <t>Validation Rules Example</t>
        </is>
      </c>
    </row>
    <row r="12">
      <c r="A12" s="14" t="inlineStr">
        <is>
          <t>240119 HOVK Spoorlaan 446-448 Tilburg signed.pdf</t>
        </is>
      </c>
      <c r="B12" s="14" t="inlineStr">
        <is>
          <t>8689.58</t>
        </is>
      </c>
      <c r="C12" s="15" t="inlineStr">
        <is>
          <t>8689.58</t>
        </is>
      </c>
      <c r="D12" s="14" t="n"/>
      <c r="E12" s="14" t="n"/>
      <c r="F12" s="14" t="n"/>
      <c r="G12" s="14" t="n"/>
      <c r="H12" s="14" t="n">
        <v>0.4393697170158031</v>
      </c>
      <c r="K12" s="16" t="inlineStr">
        <is>
          <t>Manual Data</t>
        </is>
      </c>
      <c r="L12" s="16" t="inlineStr">
        <is>
          <t>Response Data</t>
        </is>
      </c>
      <c r="M12" s="16" t="inlineStr">
        <is>
          <t>Result</t>
        </is>
      </c>
    </row>
    <row r="13">
      <c r="A13" s="14" t="inlineStr">
        <is>
          <t>27001 Rijksvastgoedbedrijf Huurovereenkomst - __27-01-2026_9-07-56.pdf</t>
        </is>
      </c>
      <c r="B13" s="14" t="inlineStr">
        <is>
          <t>66497.36</t>
        </is>
      </c>
      <c r="C13" s="15" t="inlineStr">
        <is>
          <t>66497.36</t>
        </is>
      </c>
      <c r="D13" s="14" t="n"/>
      <c r="E13" s="14" t="n"/>
      <c r="F13" s="14" t="n"/>
      <c r="G13" s="14" t="n"/>
      <c r="H13" s="14" t="n">
        <v>0.6465616596235114</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5319.17</t>
        </is>
      </c>
      <c r="C16" s="15" t="inlineStr">
        <is>
          <t>5319.17</t>
        </is>
      </c>
      <c r="D16" s="14" t="n"/>
      <c r="E16" s="14" t="n"/>
      <c r="F16" s="14" t="n"/>
      <c r="G16" s="14" t="n"/>
      <c r="H16" s="14" t="n">
        <v>0.5841086061396711</v>
      </c>
      <c r="K16" t="n">
        <v>100</v>
      </c>
      <c r="M16" t="inlineStr">
        <is>
          <t>FN</t>
        </is>
      </c>
    </row>
    <row r="17">
      <c r="A17" s="14" t="inlineStr">
        <is>
          <t>COMPL Huurovereenkomst - Stichting CCE - Kantoorgebouw Metzpoint I Dr. Holtroplaan - Fully Signed.pdf</t>
        </is>
      </c>
      <c r="B17" s="14" t="inlineStr">
        <is>
          <t>3759.5</t>
        </is>
      </c>
      <c r="C17" s="15" t="inlineStr">
        <is>
          <t>3759.5</t>
        </is>
      </c>
      <c r="D17" s="14" t="n"/>
      <c r="E17" s="14" t="n"/>
      <c r="F17" s="14" t="n"/>
      <c r="G17" s="14" t="n"/>
      <c r="H17" s="14" t="n">
        <v>0.955435708203236</v>
      </c>
      <c r="M17" t="inlineStr">
        <is>
          <t>TN</t>
        </is>
      </c>
    </row>
    <row r="18">
      <c r="A18" s="14" t="inlineStr">
        <is>
          <t>COMPL Regel Partners - HOVK - Luchthavenweg 81 - 20260728.pdf</t>
        </is>
      </c>
      <c r="B18" s="14" t="n">
        <v>4125.46</v>
      </c>
      <c r="C18" s="15" t="inlineStr">
        <is>
          <t>615.97</t>
        </is>
      </c>
      <c r="D18" s="14" t="n"/>
      <c r="E18" s="14" t="inlineStr">
        <is>
          <t>10</t>
        </is>
      </c>
      <c r="F18" s="14" t="n"/>
      <c r="G18" s="14" t="n"/>
      <c r="H18" s="14" t="n">
        <v>0.6454862456412243</v>
      </c>
    </row>
    <row r="19">
      <c r="A19" s="14" t="inlineStr">
        <is>
          <t>COMPL_-_Onderhuurovereenkomst_Zelfstroom_B.V._-_50five_B.V._-_kantoorgebouw_Riva_-_05032026.pdf</t>
        </is>
      </c>
      <c r="B19" s="14" t="inlineStr">
        <is>
          <t>17620.63</t>
        </is>
      </c>
      <c r="C19" s="15" t="inlineStr">
        <is>
          <t>17620.63</t>
        </is>
      </c>
      <c r="D19" s="14" t="n"/>
      <c r="E19" s="14" t="n"/>
      <c r="F19" s="14" t="n"/>
      <c r="G19" s="14" t="n"/>
      <c r="H19" s="14" t="n">
        <v>0.9389448725548312</v>
      </c>
      <c r="K19" s="17" t="inlineStr">
        <is>
          <t>Field:</t>
        </is>
      </c>
      <c r="L19" t="inlineStr">
        <is>
          <t>Terms / Effective_Rent_Monthly</t>
        </is>
      </c>
    </row>
    <row r="20">
      <c r="A20" s="14" t="inlineStr">
        <is>
          <t>Den Bosch, Ruwekampweg 4, HOVK getekend.pdf</t>
        </is>
      </c>
      <c r="B20" s="14" t="inlineStr">
        <is>
          <t>7216.67</t>
        </is>
      </c>
      <c r="C20" s="15" t="inlineStr">
        <is>
          <t>7216.67</t>
        </is>
      </c>
      <c r="D20" s="14" t="n"/>
      <c r="E20" s="14" t="n"/>
      <c r="F20" s="14" t="n"/>
      <c r="G20" s="14" t="n"/>
      <c r="H20" s="14" t="n">
        <v>0.6997692078618225</v>
      </c>
    </row>
    <row r="21">
      <c r="A21" s="14" t="inlineStr">
        <is>
          <t>FULLY SIGNED - COMPL Huurovereenkomst - Heijmans - Hugo de Grootlaan 23 's-Hertogenbosch V2 30-9-2025.pdf</t>
        </is>
      </c>
      <c r="B21" s="14" t="inlineStr">
        <is>
          <t>5368.99</t>
        </is>
      </c>
      <c r="C21" s="15" t="inlineStr">
        <is>
          <t>5368.99</t>
        </is>
      </c>
      <c r="D21" s="14" t="n"/>
      <c r="E21" s="14" t="n"/>
      <c r="F21" s="14" t="n"/>
      <c r="G21" s="14" t="n"/>
      <c r="H21" s="14" t="n">
        <v>0.4403771542001265</v>
      </c>
    </row>
    <row r="22">
      <c r="A22" s="14" t="inlineStr">
        <is>
          <t>FULLY SIGNED - DEF_COMPL_Huurovereenkomst_Robo_Charge_-_Campus_Offices_-_20260220.pdf</t>
        </is>
      </c>
      <c r="B22" s="14" t="n">
        <v>4242.94</v>
      </c>
      <c r="C22" s="15" t="inlineStr">
        <is>
          <t>3873.67</t>
        </is>
      </c>
      <c r="D22" s="14" t="n"/>
      <c r="E22" s="14" t="inlineStr">
        <is>
          <t>9</t>
        </is>
      </c>
      <c r="F22" s="14" t="n"/>
      <c r="G22" s="14" t="n"/>
      <c r="H22" s="14" t="n">
        <v>0.4625083956476963</v>
      </c>
    </row>
    <row r="23">
      <c r="A23" s="14" t="inlineStr">
        <is>
          <t>FULLY SIGNED - Onderhuurovereenkomst Aartshertogenlaan 223, `s-Hertogenbosch - Koning Willem I College B.V. 2606202.pdf</t>
        </is>
      </c>
      <c r="B23" s="14" t="n">
        <v>8523.620000000001</v>
      </c>
      <c r="C23" s="15" t="inlineStr">
        <is>
          <t>9514.74</t>
        </is>
      </c>
      <c r="D23" s="14" t="n"/>
      <c r="E23" s="14" t="inlineStr">
        <is>
          <t>8</t>
        </is>
      </c>
      <c r="F23" s="14" t="n"/>
      <c r="G23" s="14" t="n"/>
      <c r="H23" s="14" t="n">
        <v>0.9530892448512585</v>
      </c>
    </row>
    <row r="24">
      <c r="A24" s="14" t="inlineStr">
        <is>
          <t>FULLY SIGNED COMPL_DEF_Huurovereenkomst_Bond_Bergschot_Breda.pdf</t>
        </is>
      </c>
      <c r="B24" s="14" t="inlineStr">
        <is>
          <t>14051.23</t>
        </is>
      </c>
      <c r="C24" s="15" t="inlineStr">
        <is>
          <t>14051.23</t>
        </is>
      </c>
      <c r="D24" s="14" t="n"/>
      <c r="E24" s="14" t="n"/>
      <c r="F24" s="14" t="n"/>
      <c r="G24" s="14" t="n"/>
      <c r="H24" s="14" t="n">
        <v>0.3910411622276029</v>
      </c>
    </row>
    <row r="25">
      <c r="A25" s="14" t="inlineStr">
        <is>
          <t>FullySigned_Allonge_II_Virtual_Vaults_Nederland.pdf</t>
        </is>
      </c>
      <c r="B25" s="14" t="n">
        <v>17720</v>
      </c>
      <c r="C25" s="15" t="inlineStr">
        <is>
          <t>17672.22</t>
        </is>
      </c>
      <c r="D25" s="14" t="n"/>
      <c r="E25" s="14" t="inlineStr">
        <is>
          <t>4</t>
        </is>
      </c>
      <c r="F25" s="14" t="n"/>
      <c r="G25" s="14" t="n"/>
      <c r="H25" s="14" t="n">
        <v>0.6933763391314364</v>
      </c>
    </row>
    <row r="26">
      <c r="A26" s="14" t="inlineStr">
        <is>
          <t>FullySigned_Lease_Agreement_Neste_EDGE_Coolsingel.pdf</t>
        </is>
      </c>
      <c r="B26" s="14" t="n">
        <v>32151.25</v>
      </c>
      <c r="C26" s="15" t="inlineStr">
        <is>
          <t>28452.5</t>
        </is>
      </c>
      <c r="D26" s="14" t="n"/>
      <c r="E26" s="14" t="inlineStr">
        <is>
          <t>15</t>
        </is>
      </c>
      <c r="F26" s="14" t="n"/>
      <c r="G26" s="14" t="n"/>
      <c r="H26" s="14" t="n">
        <v>0.9146739130434783</v>
      </c>
    </row>
    <row r="27">
      <c r="A27" s="14" t="inlineStr">
        <is>
          <t>HOK Waalhaven Group (signed).pdf</t>
        </is>
      </c>
      <c r="B27" s="14" t="n">
        <v>9458.290000000001</v>
      </c>
      <c r="C27" s="15" t="inlineStr">
        <is>
          <t>9168.75</t>
        </is>
      </c>
      <c r="D27" s="14" t="n"/>
      <c r="E27" s="14" t="inlineStr">
        <is>
          <t>11</t>
        </is>
      </c>
      <c r="F27" s="14" t="n"/>
      <c r="G27" s="14" t="n"/>
      <c r="H27" s="14" t="n">
        <v>0.4625083956476963</v>
      </c>
    </row>
    <row r="28">
      <c r="A28" s="14" t="inlineStr">
        <is>
          <t>Hovk Avans  (3e+4e+5e verd.) 20140425.pdf</t>
        </is>
      </c>
      <c r="B28" s="14" t="inlineStr">
        <is>
          <t>3973.36</t>
        </is>
      </c>
      <c r="C28" s="15" t="inlineStr">
        <is>
          <t>3973.36</t>
        </is>
      </c>
      <c r="D28" s="14" t="n"/>
      <c r="E28" s="14" t="n"/>
      <c r="F28" s="14" t="n"/>
      <c r="G28" s="14" t="n"/>
      <c r="H28" s="14" t="n">
        <v>0.5849890873817798</v>
      </c>
    </row>
    <row r="29">
      <c r="A29" s="14" t="inlineStr">
        <is>
          <t>HOVK Power4People 2025.pdf</t>
        </is>
      </c>
      <c r="B29" s="14" t="n">
        <v>2020</v>
      </c>
      <c r="C29" s="15" t="inlineStr">
        <is>
          <t>2020</t>
        </is>
      </c>
      <c r="D29" s="14" t="n"/>
      <c r="E29" s="14" t="inlineStr">
        <is>
          <t>2-3</t>
        </is>
      </c>
      <c r="F29" s="14" t="n"/>
      <c r="G29" s="14" t="n"/>
      <c r="H29" s="14" t="n">
        <v>0.4366822317431282</v>
      </c>
    </row>
    <row r="30">
      <c r="A30" s="14" t="inlineStr">
        <is>
          <t>Huurovereenkomst (Semmie Group B.V.) - Wilhelminasingel 19, Breda.pdf</t>
        </is>
      </c>
      <c r="B30" s="14" t="n">
        <v>2235.4</v>
      </c>
      <c r="C30" s="15" t="inlineStr">
        <is>
          <t>2455.79</t>
        </is>
      </c>
      <c r="D30" s="14" t="n"/>
      <c r="E30" s="14" t="inlineStr">
        <is>
          <t>9</t>
        </is>
      </c>
      <c r="F30" s="14" t="n"/>
      <c r="G30" s="14" t="n"/>
      <c r="H30" s="14" t="n">
        <v>0.4398779988164064</v>
      </c>
    </row>
    <row r="31">
      <c r="A31" s="14" t="inlineStr">
        <is>
          <t>Huurovereenkomst - proces-verbaal van oplevering - sleuteloverdracht - Kennedyplein 101 - getekend.pdf</t>
        </is>
      </c>
      <c r="B31" s="14" t="n">
        <v>5512.38</v>
      </c>
      <c r="C31" s="15" t="inlineStr">
        <is>
          <t>6013.5</t>
        </is>
      </c>
      <c r="D31" s="14" t="n"/>
      <c r="E31" s="14" t="inlineStr">
        <is>
          <t>10</t>
        </is>
      </c>
      <c r="F31" s="14" t="n"/>
      <c r="G31" s="14" t="n"/>
      <c r="H31" s="14" t="n">
        <v>0.9103825136612022</v>
      </c>
    </row>
    <row r="32">
      <c r="A32" s="14" t="inlineStr">
        <is>
          <t>Huurovereenkomst Bijster 5 te Breda getekend.pdf</t>
        </is>
      </c>
      <c r="B32" s="14" t="n">
        <v>5133.4</v>
      </c>
      <c r="C32" s="15" t="inlineStr">
        <is>
          <t>5299.44</t>
        </is>
      </c>
      <c r="D32" s="14" t="n"/>
      <c r="E32" s="14" t="inlineStr">
        <is>
          <t>10</t>
        </is>
      </c>
      <c r="F32" s="14" t="n"/>
      <c r="G32" s="14" t="n"/>
      <c r="H32" s="14" t="n">
        <v>0.2426802621995632</v>
      </c>
    </row>
    <row r="33">
      <c r="A33" s="14" t="inlineStr">
        <is>
          <t>Huurovereenkomst Catena Pand Son - Skymark (Son en Breugel - NLD).pdf</t>
        </is>
      </c>
      <c r="B33" s="14" t="inlineStr">
        <is>
          <t>20154.17</t>
        </is>
      </c>
      <c r="C33" s="15" t="inlineStr">
        <is>
          <t>20154.17</t>
        </is>
      </c>
      <c r="D33" s="14" t="n"/>
      <c r="E33" s="14" t="n"/>
      <c r="F33" s="14" t="n"/>
      <c r="G33" s="14" t="n"/>
      <c r="H33" s="14" t="n">
        <v>0.9530892448512585</v>
      </c>
    </row>
    <row r="34">
      <c r="A34" s="14" t="inlineStr">
        <is>
          <t>Huurovereenkomst KPN Opstelpunt Parallelweg 64 20130313.pdf</t>
        </is>
      </c>
      <c r="B34" s="14" t="inlineStr">
        <is>
          <t>356.25</t>
        </is>
      </c>
      <c r="C34" s="15" t="inlineStr">
        <is>
          <t>356.25</t>
        </is>
      </c>
      <c r="D34" s="14" t="n"/>
      <c r="E34" s="14" t="n"/>
      <c r="F34" s="14" t="n"/>
      <c r="G34" s="14" t="n"/>
      <c r="H34" s="14" t="n">
        <v>0.9530892448512585</v>
      </c>
    </row>
    <row r="35">
      <c r="A35" s="14" t="inlineStr">
        <is>
          <t>Huurovereenkomst PBG Parallelweg 64 (beg.grond) 20121008.pdf</t>
        </is>
      </c>
      <c r="B35" s="14" t="inlineStr">
        <is>
          <t>7849.17</t>
        </is>
      </c>
      <c r="C35" s="15" t="inlineStr">
        <is>
          <t>7849.17</t>
        </is>
      </c>
      <c r="D35" s="14" t="n"/>
      <c r="E35" s="14" t="n"/>
      <c r="F35" s="14" t="n"/>
      <c r="G35" s="14" t="n"/>
      <c r="H35" s="14" t="n">
        <v>0.6971223021582733</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7000</t>
        </is>
      </c>
      <c r="C2" s="15" t="inlineStr">
        <is>
          <t>7000</t>
        </is>
      </c>
      <c r="D2" s="14" t="n"/>
      <c r="E2" s="14" t="n"/>
      <c r="F2" s="14" t="n"/>
      <c r="G2" s="14" t="n"/>
      <c r="H2" s="14" t="n">
        <v>0.9530892448512585</v>
      </c>
      <c r="K2" s="16" t="inlineStr">
        <is>
          <t>Metrics</t>
        </is>
      </c>
      <c r="L2" s="16" t="inlineStr">
        <is>
          <t>Percentage</t>
        </is>
      </c>
      <c r="N2" s="16" t="inlineStr">
        <is>
          <t>Metrics</t>
        </is>
      </c>
      <c r="O2" s="16" t="inlineStr">
        <is>
          <t>Percentage</t>
        </is>
      </c>
    </row>
    <row r="3">
      <c r="A3" s="14" t="inlineStr">
        <is>
          <t>2024.10.30_Office Rental Agreement Labs_Gruyter Fabriek.pdf</t>
        </is>
      </c>
      <c r="B3" s="14" t="n">
        <v>104253</v>
      </c>
      <c r="C3" s="15" t="inlineStr">
        <is>
          <t>106020</t>
        </is>
      </c>
      <c r="D3" s="14" t="n"/>
      <c r="E3" s="14" t="inlineStr">
        <is>
          <t>9</t>
        </is>
      </c>
      <c r="F3" s="14" t="n"/>
      <c r="G3" s="14" t="n"/>
      <c r="H3" s="14" t="n">
        <v>0.9530892448512585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v>713590</v>
      </c>
      <c r="C4" s="15" t="inlineStr">
        <is>
          <t>624427.3</t>
        </is>
      </c>
      <c r="D4" s="14" t="n"/>
      <c r="E4" s="14" t="inlineStr">
        <is>
          <t>4, 8</t>
        </is>
      </c>
      <c r="F4" s="14" t="n"/>
      <c r="G4" s="14" t="n"/>
      <c r="H4" s="14" t="n">
        <v>0.7219263042685152</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11788</t>
        </is>
      </c>
      <c r="C5" s="15" t="inlineStr">
        <is>
          <t>11788</t>
        </is>
      </c>
      <c r="D5" s="14" t="n"/>
      <c r="E5" s="14" t="n"/>
      <c r="F5" s="14" t="n"/>
      <c r="G5" s="14" t="n"/>
      <c r="H5" s="14" t="n">
        <v>0.8343273389483269</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245000</t>
        </is>
      </c>
      <c r="C6" s="15" t="inlineStr">
        <is>
          <t>245000</t>
        </is>
      </c>
      <c r="D6" s="14" t="n"/>
      <c r="E6" s="14" t="n"/>
      <c r="F6" s="14" t="n"/>
      <c r="G6" s="14" t="n"/>
      <c r="H6" s="14" t="n">
        <v>0.7978012342764644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25951.66</t>
        </is>
      </c>
      <c r="C7" s="15" t="inlineStr">
        <is>
          <t>25951.66</t>
        </is>
      </c>
      <c r="D7" s="14" t="n"/>
      <c r="E7" s="14" t="n"/>
      <c r="F7" s="14" t="n"/>
      <c r="G7" s="14" t="n"/>
      <c r="H7" s="14" t="n">
        <v>0.5361903955280765</v>
      </c>
      <c r="K7" s="17" t="inlineStr">
        <is>
          <t>Total Docs Tested</t>
        </is>
      </c>
      <c r="L7" s="19">
        <f>COUNTA(A2:A36)</f>
        <v/>
      </c>
      <c r="N7" s="17" t="inlineStr">
        <is>
          <t>Total Docs Tested</t>
        </is>
      </c>
      <c r="O7" s="19">
        <f>COUNTA(A2:A36)</f>
        <v/>
      </c>
    </row>
    <row r="8">
      <c r="A8" s="14" t="inlineStr">
        <is>
          <t>20260629 HOK ADHDcentraal BV (1).pdf</t>
        </is>
      </c>
      <c r="B8" s="14" t="n">
        <v>49303.93</v>
      </c>
      <c r="C8" s="15" t="inlineStr">
        <is>
          <t>41834.25</t>
        </is>
      </c>
      <c r="D8" s="14" t="n"/>
      <c r="E8" s="14" t="inlineStr">
        <is>
          <t>3</t>
        </is>
      </c>
      <c r="F8" s="14" t="n"/>
      <c r="G8" s="14" t="n"/>
      <c r="H8" s="14" t="n">
        <v>0.6687863483318031</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v>265983.9</v>
      </c>
      <c r="C9" s="15" t="inlineStr">
        <is>
          <t>254403.5</t>
        </is>
      </c>
      <c r="D9" s="14" t="n"/>
      <c r="E9" s="14" t="inlineStr">
        <is>
          <t>10</t>
        </is>
      </c>
      <c r="F9" s="14" t="n">
        <v>2</v>
      </c>
      <c r="G9" s="14" t="n"/>
      <c r="H9" s="14" t="n">
        <v>0.5932664292651343</v>
      </c>
      <c r="K9" s="17" t="inlineStr">
        <is>
          <t>No Of Docs With Response</t>
        </is>
      </c>
      <c r="L9" s="19">
        <f>COUNTIFS(C2:C36,"&lt;&gt;")</f>
        <v/>
      </c>
      <c r="N9" s="17" t="inlineStr">
        <is>
          <t>No Of Docs With Response Pg</t>
        </is>
      </c>
      <c r="O9" s="19">
        <f>COUNTIFS(F2:F36,"&lt;&gt;")</f>
        <v/>
      </c>
    </row>
    <row r="10">
      <c r="A10" s="14" t="inlineStr">
        <is>
          <t>20260810 HOK ClustR BV.pdf</t>
        </is>
      </c>
      <c r="B10" s="14" t="n">
        <v>34913.9</v>
      </c>
      <c r="C10" s="15" t="inlineStr">
        <is>
          <t>29926.2</t>
        </is>
      </c>
      <c r="D10" s="14" t="n"/>
      <c r="E10" s="14" t="inlineStr">
        <is>
          <t>2</t>
        </is>
      </c>
      <c r="F10" s="14" t="n"/>
      <c r="G10" s="14" t="n"/>
      <c r="H10" s="14" t="n">
        <v>0.3922769013421238</v>
      </c>
      <c r="K10" s="20" t="inlineStr">
        <is>
          <t>Highlighted rows = file(s) not in the annotation sheet; excluded from all metrics above.</t>
        </is>
      </c>
    </row>
    <row r="11">
      <c r="A11" s="14" t="inlineStr">
        <is>
          <t>20270801 - Getekende Allonge II Advario BV.pdf</t>
        </is>
      </c>
      <c r="B11" s="14" t="n">
        <v>263882.19</v>
      </c>
      <c r="C11" s="15" t="inlineStr">
        <is>
          <t>244685.5</t>
        </is>
      </c>
      <c r="D11" s="14" t="n"/>
      <c r="E11" s="14" t="inlineStr">
        <is>
          <t>5</t>
        </is>
      </c>
      <c r="F11" s="14" t="n"/>
      <c r="G11" s="14" t="n"/>
      <c r="H11" s="14" t="n">
        <v>0.5932664292651343</v>
      </c>
      <c r="K11" s="17" t="inlineStr">
        <is>
          <t>Validation Rules Example</t>
        </is>
      </c>
    </row>
    <row r="12">
      <c r="A12" s="14" t="inlineStr">
        <is>
          <t>240119 HOVK Spoorlaan 446-448 Tilburg signed.pdf</t>
        </is>
      </c>
      <c r="B12" s="14" t="inlineStr">
        <is>
          <t>405000</t>
        </is>
      </c>
      <c r="C12" s="15" t="inlineStr">
        <is>
          <t>405000</t>
        </is>
      </c>
      <c r="D12" s="14" t="n"/>
      <c r="E12" s="14" t="n"/>
      <c r="F12" s="14" t="n"/>
      <c r="G12" s="14" t="n"/>
      <c r="H12" s="14" t="n">
        <v>0.9530892448512585</v>
      </c>
      <c r="K12" s="16" t="inlineStr">
        <is>
          <t>Manual Data</t>
        </is>
      </c>
      <c r="L12" s="16" t="inlineStr">
        <is>
          <t>Response Data</t>
        </is>
      </c>
      <c r="M12" s="16" t="inlineStr">
        <is>
          <t>Result</t>
        </is>
      </c>
    </row>
    <row r="13">
      <c r="A13" s="14" t="inlineStr">
        <is>
          <t>27001 Rijksvastgoedbedrijf Huurovereenkomst - __27-01-2026_9-07-56.pdf</t>
        </is>
      </c>
      <c r="B13" s="14" t="inlineStr">
        <is>
          <t>797968.38</t>
        </is>
      </c>
      <c r="C13" s="15" t="inlineStr">
        <is>
          <t>797968.38</t>
        </is>
      </c>
      <c r="D13" s="14" t="n"/>
      <c r="E13" s="14" t="n"/>
      <c r="F13" s="14" t="n"/>
      <c r="G13" s="14" t="n"/>
      <c r="H13" s="14" t="n">
        <v>0.9530892448512585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58780</t>
        </is>
      </c>
      <c r="C16" s="15" t="inlineStr">
        <is>
          <t>58780</t>
        </is>
      </c>
      <c r="D16" s="14" t="n"/>
      <c r="E16" s="14" t="n"/>
      <c r="F16" s="14" t="n"/>
      <c r="G16" s="14" t="n"/>
      <c r="H16" s="14" t="n">
        <v>0.9060439560439562</v>
      </c>
      <c r="K16" t="n">
        <v>100</v>
      </c>
      <c r="M16" t="inlineStr">
        <is>
          <t>FN</t>
        </is>
      </c>
    </row>
    <row r="17">
      <c r="A17" s="14" t="inlineStr">
        <is>
          <t>COMPL Huurovereenkomst - Stichting CCE - Kantoorgebouw Metzpoint I Dr. Holtroplaan - Fully Signed.pdf</t>
        </is>
      </c>
      <c r="B17" s="14" t="inlineStr">
        <is>
          <t>43220.6</t>
        </is>
      </c>
      <c r="C17" s="15" t="inlineStr">
        <is>
          <t>43220.6</t>
        </is>
      </c>
      <c r="D17" s="14" t="n"/>
      <c r="E17" s="14" t="n"/>
      <c r="F17" s="14" t="n"/>
      <c r="G17" s="14" t="n"/>
      <c r="H17" s="14" t="n">
        <v>0.5832126994571473</v>
      </c>
      <c r="M17" t="inlineStr">
        <is>
          <t>TN</t>
        </is>
      </c>
    </row>
    <row r="18">
      <c r="A18" s="14" t="inlineStr">
        <is>
          <t>COMPL Regel Partners - HOVK - Luchthavenweg 81 - 20260728.pdf</t>
        </is>
      </c>
      <c r="B18" s="14" t="n">
        <v>49505.5</v>
      </c>
      <c r="C18" s="15" t="inlineStr">
        <is>
          <t>48441.9</t>
        </is>
      </c>
      <c r="D18" s="14" t="n"/>
      <c r="E18" s="14" t="inlineStr">
        <is>
          <t>10</t>
        </is>
      </c>
      <c r="F18" s="14" t="n"/>
      <c r="G18" s="14" t="n"/>
      <c r="H18" s="14" t="n">
        <v>0.5361903955280765</v>
      </c>
    </row>
    <row r="19">
      <c r="A19" s="14" t="inlineStr">
        <is>
          <t>COMPL_-_Onderhuurovereenkomst_Zelfstroom_B.V._-_50five_B.V._-_kantoorgebouw_Riva_-_05032026.pdf</t>
        </is>
      </c>
      <c r="B19" s="14" t="inlineStr">
        <is>
          <t>17620.63</t>
        </is>
      </c>
      <c r="C19" s="15" t="inlineStr">
        <is>
          <t>17620.63</t>
        </is>
      </c>
      <c r="D19" s="14" t="n"/>
      <c r="E19" s="14" t="n"/>
      <c r="F19" s="14" t="n"/>
      <c r="G19" s="14" t="n"/>
      <c r="H19" s="14" t="n">
        <v>0.8849162011173185</v>
      </c>
      <c r="K19" s="17" t="inlineStr">
        <is>
          <t>Field:</t>
        </is>
      </c>
      <c r="L19" t="inlineStr">
        <is>
          <t>Terms / Effective_Rent_Yearly</t>
        </is>
      </c>
    </row>
    <row r="20">
      <c r="A20" s="14" t="inlineStr">
        <is>
          <t>Den Bosch, Ruwekampweg 4, HOVK getekend.pdf</t>
        </is>
      </c>
      <c r="B20" s="14" t="inlineStr">
        <is>
          <t>85000</t>
        </is>
      </c>
      <c r="C20" s="15" t="inlineStr">
        <is>
          <t>85000</t>
        </is>
      </c>
      <c r="D20" s="14" t="n"/>
      <c r="E20" s="14" t="n"/>
      <c r="F20" s="14" t="n"/>
      <c r="G20" s="14" t="n"/>
      <c r="H20" s="14" t="n">
        <v>0.8516293929712458</v>
      </c>
    </row>
    <row r="21">
      <c r="A21" s="14" t="inlineStr">
        <is>
          <t>FULLY SIGNED - COMPL Huurovereenkomst - Heijmans - Hugo de Grootlaan 23 's-Hertogenbosch V2 30-9-2025.pdf</t>
        </is>
      </c>
      <c r="B21" s="14" t="inlineStr">
        <is>
          <t>64327.84</t>
        </is>
      </c>
      <c r="C21" s="15" t="inlineStr">
        <is>
          <t>64327.84</t>
        </is>
      </c>
      <c r="D21" s="14" t="n"/>
      <c r="E21" s="14" t="n"/>
      <c r="F21" s="14" t="n"/>
      <c r="G21" s="14" t="n"/>
      <c r="H21" s="14" t="n">
        <v>0.8949334635575631</v>
      </c>
    </row>
    <row r="22">
      <c r="A22" s="14" t="inlineStr">
        <is>
          <t>FULLY SIGNED - DEF_COMPL_Huurovereenkomst_Robo_Charge_-_Campus_Offices_-_20260220.pdf</t>
        </is>
      </c>
      <c r="B22" s="14" t="n">
        <v>50915.33</v>
      </c>
      <c r="C22" s="15" t="inlineStr">
        <is>
          <t>51111.87</t>
        </is>
      </c>
      <c r="D22" s="14" t="n"/>
      <c r="E22" s="14" t="inlineStr">
        <is>
          <t>9</t>
        </is>
      </c>
      <c r="F22" s="14" t="n"/>
      <c r="G22" s="14" t="n"/>
      <c r="H22" s="14" t="n">
        <v>0.3918726235741445</v>
      </c>
    </row>
    <row r="23">
      <c r="A23" s="14" t="inlineStr">
        <is>
          <t>FULLY SIGNED - Onderhuurovereenkomst Aartshertogenlaan 223, `s-Hertogenbosch - Koning Willem I College B.V. 2606202.pdf</t>
        </is>
      </c>
      <c r="B23" s="14" t="n">
        <v>102283.46</v>
      </c>
      <c r="C23" s="15" t="inlineStr">
        <is>
          <t>99923.71</t>
        </is>
      </c>
      <c r="D23" s="14" t="n"/>
      <c r="E23" s="14" t="inlineStr">
        <is>
          <t>8</t>
        </is>
      </c>
      <c r="F23" s="14" t="n"/>
      <c r="G23" s="14" t="n"/>
      <c r="H23" s="14" t="n">
        <v>0.2120492151039458</v>
      </c>
    </row>
    <row r="24">
      <c r="A24" s="14" t="inlineStr">
        <is>
          <t>FULLY SIGNED COMPL_DEF_Huurovereenkomst_Bond_Bergschot_Breda.pdf</t>
        </is>
      </c>
      <c r="B24" s="14" t="inlineStr">
        <is>
          <t>164603.2</t>
        </is>
      </c>
      <c r="C24" s="15" t="inlineStr">
        <is>
          <t>164603.2</t>
        </is>
      </c>
      <c r="D24" s="14" t="n"/>
      <c r="E24" s="14" t="n"/>
      <c r="F24" s="14" t="n"/>
      <c r="G24" s="14" t="n"/>
      <c r="H24" s="14" t="n">
        <v>0.4844090048019736</v>
      </c>
    </row>
    <row r="25">
      <c r="A25" s="14" t="inlineStr">
        <is>
          <t>FullySigned_Allonge_II_Virtual_Vaults_Nederland.pdf</t>
        </is>
      </c>
      <c r="B25" s="14" t="n">
        <v>212639.94</v>
      </c>
      <c r="C25" s="15" t="inlineStr">
        <is>
          <t>192266.6</t>
        </is>
      </c>
      <c r="D25" s="14" t="n"/>
      <c r="E25" s="14" t="inlineStr">
        <is>
          <t>4</t>
        </is>
      </c>
      <c r="F25" s="14" t="n"/>
      <c r="G25" s="14" t="n"/>
      <c r="H25" s="14" t="n">
        <v>0.9530892448512585</v>
      </c>
    </row>
    <row r="26">
      <c r="A26" s="14" t="inlineStr">
        <is>
          <t>FullySigned_Lease_Agreement_Neste_EDGE_Coolsingel.pdf</t>
        </is>
      </c>
      <c r="B26" s="14" t="n">
        <v>385815</v>
      </c>
      <c r="C26" s="15" t="inlineStr">
        <is>
          <t>292035</t>
        </is>
      </c>
      <c r="D26" s="14" t="n"/>
      <c r="E26" s="14" t="inlineStr">
        <is>
          <t>15</t>
        </is>
      </c>
      <c r="F26" s="14" t="n"/>
      <c r="G26" s="14" t="n"/>
      <c r="H26" s="14" t="n">
        <v>0.6454862456412243</v>
      </c>
    </row>
    <row r="27">
      <c r="A27" s="14" t="inlineStr">
        <is>
          <t>HOK Waalhaven Group (signed).pdf</t>
        </is>
      </c>
      <c r="B27" s="14" t="n">
        <v>113499.5</v>
      </c>
      <c r="C27" s="15" t="inlineStr">
        <is>
          <t>109268.5</t>
        </is>
      </c>
      <c r="D27" s="14" t="n"/>
      <c r="E27" s="14" t="inlineStr">
        <is>
          <t>11</t>
        </is>
      </c>
      <c r="F27" s="14" t="n"/>
      <c r="G27" s="14" t="n"/>
      <c r="H27" s="14" t="n">
        <v>0.6465616596235114</v>
      </c>
    </row>
    <row r="28">
      <c r="A28" s="14" t="inlineStr">
        <is>
          <t>Hovk Avans  (3e+4e+5e verd.) 20140425.pdf</t>
        </is>
      </c>
      <c r="B28" s="14" t="inlineStr">
        <is>
          <t>187930</t>
        </is>
      </c>
      <c r="C28" s="15" t="inlineStr">
        <is>
          <t>187930</t>
        </is>
      </c>
      <c r="D28" s="14" t="n"/>
      <c r="E28" s="14" t="n"/>
      <c r="F28" s="14" t="n"/>
      <c r="G28" s="14" t="n"/>
      <c r="H28" s="14" t="n">
        <v>0.5932664292651343</v>
      </c>
    </row>
    <row r="29">
      <c r="A29" s="14" t="inlineStr">
        <is>
          <t>HOVK Power4People 2025.pdf</t>
        </is>
      </c>
      <c r="B29" s="14" t="n">
        <v>24240</v>
      </c>
      <c r="C29" s="15" t="inlineStr">
        <is>
          <t>24600</t>
        </is>
      </c>
      <c r="D29" s="14" t="n"/>
      <c r="E29" s="14" t="inlineStr">
        <is>
          <t>2-3</t>
        </is>
      </c>
      <c r="F29" s="14" t="n"/>
      <c r="G29" s="14" t="n"/>
      <c r="H29" s="14" t="n">
        <v>0.8</v>
      </c>
    </row>
    <row r="30">
      <c r="A30" s="14" t="inlineStr">
        <is>
          <t>Huurovereenkomst (Semmie Group B.V.) - Wilhelminasingel 19, Breda.pdf</t>
        </is>
      </c>
      <c r="B30" s="14" t="n">
        <v>26824.85</v>
      </c>
      <c r="C30" s="15" t="inlineStr">
        <is>
          <t>267068.98</t>
        </is>
      </c>
      <c r="D30" s="14" t="n"/>
      <c r="E30" s="14" t="inlineStr">
        <is>
          <t>9</t>
        </is>
      </c>
      <c r="F30" s="14" t="n"/>
      <c r="G30" s="14" t="n"/>
      <c r="H30" s="14" t="n">
        <v>0.3546891464699681</v>
      </c>
    </row>
    <row r="31">
      <c r="A31" s="14" t="inlineStr">
        <is>
          <t>Huurovereenkomst - proces-verbaal van oplevering - sleuteloverdracht - Kennedyplein 101 - getekend.pdf</t>
        </is>
      </c>
      <c r="B31" s="14" t="n">
        <v>66148.5</v>
      </c>
      <c r="C31" s="15" t="inlineStr">
        <is>
          <t>72000</t>
        </is>
      </c>
      <c r="D31" s="14" t="n"/>
      <c r="E31" s="14" t="inlineStr">
        <is>
          <t>10</t>
        </is>
      </c>
      <c r="F31" s="14" t="n"/>
      <c r="G31" s="14" t="n"/>
      <c r="H31" s="14" t="n">
        <v>0.5557964970809006</v>
      </c>
    </row>
    <row r="32">
      <c r="A32" s="14" t="inlineStr">
        <is>
          <t>Huurovereenkomst Bijster 5 te Breda getekend.pdf</t>
        </is>
      </c>
      <c r="B32" s="14" t="n">
        <v>61600.83</v>
      </c>
      <c r="C32" s="15" t="inlineStr">
        <is>
          <t>58561.67</t>
        </is>
      </c>
      <c r="D32" s="14" t="n"/>
      <c r="E32" s="14" t="inlineStr">
        <is>
          <t>10</t>
        </is>
      </c>
      <c r="F32" s="14" t="n"/>
      <c r="G32" s="14" t="n"/>
      <c r="H32" s="14" t="n">
        <v>0.7246501614639399</v>
      </c>
    </row>
    <row r="33">
      <c r="A33" s="14" t="inlineStr">
        <is>
          <t>Huurovereenkomst Catena Pand Son - Skymark (Son en Breugel - NLD).pdf</t>
        </is>
      </c>
      <c r="B33" s="14" t="inlineStr">
        <is>
          <t>241850</t>
        </is>
      </c>
      <c r="C33" s="15" t="inlineStr">
        <is>
          <t>241850</t>
        </is>
      </c>
      <c r="D33" s="14" t="n"/>
      <c r="E33" s="14" t="n"/>
      <c r="F33" s="14" t="n"/>
      <c r="G33" s="14" t="n"/>
      <c r="H33" s="14" t="n">
        <v>0.9530892448512585</v>
      </c>
    </row>
    <row r="34">
      <c r="A34" s="14" t="inlineStr">
        <is>
          <t>Huurovereenkomst KPN Opstelpunt Parallelweg 64 20130313.pdf</t>
        </is>
      </c>
      <c r="B34" s="14" t="inlineStr">
        <is>
          <t>4275</t>
        </is>
      </c>
      <c r="C34" s="15" t="inlineStr">
        <is>
          <t>4275</t>
        </is>
      </c>
      <c r="D34" s="14" t="n"/>
      <c r="E34" s="14" t="n"/>
      <c r="F34" s="14" t="n"/>
      <c r="G34" s="14" t="n"/>
      <c r="H34" s="14" t="n">
        <v>0.9530892448512585</v>
      </c>
    </row>
    <row r="35">
      <c r="A35" s="14" t="inlineStr">
        <is>
          <t>Huurovereenkomst PBG Parallelweg 64 (beg.grond) 20121008.pdf</t>
        </is>
      </c>
      <c r="B35" s="14" t="inlineStr">
        <is>
          <t>82390.83</t>
        </is>
      </c>
      <c r="C35" s="15" t="inlineStr">
        <is>
          <t>82390.83</t>
        </is>
      </c>
      <c r="D35" s="14" t="n"/>
      <c r="E35" s="14" t="n"/>
      <c r="F35" s="14" t="n"/>
      <c r="G35" s="14" t="n"/>
      <c r="H35" s="14" t="n">
        <v>0.6699647179331539</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180 months</t>
        </is>
      </c>
      <c r="C2" s="15" t="inlineStr">
        <is>
          <t>180 months</t>
        </is>
      </c>
      <c r="D2" s="14" t="n"/>
      <c r="E2" s="14" t="n"/>
      <c r="F2" s="14" t="n"/>
      <c r="G2" s="14" t="n"/>
      <c r="H2" s="14" t="n">
        <v>0.9705882352941176</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60 months</t>
        </is>
      </c>
      <c r="C3" s="15" t="inlineStr">
        <is>
          <t>60 months</t>
        </is>
      </c>
      <c r="D3" s="14" t="n"/>
      <c r="E3" s="14" t="n"/>
      <c r="F3" s="14" t="n"/>
      <c r="G3" s="14" t="n"/>
      <c r="H3" s="14" t="n">
        <v>0.9705882352941176</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120 months</t>
        </is>
      </c>
      <c r="C4" s="15" t="inlineStr">
        <is>
          <t>120 months</t>
        </is>
      </c>
      <c r="D4" s="14" t="n"/>
      <c r="E4" s="14" t="n"/>
      <c r="F4" s="14" t="n"/>
      <c r="G4" s="14" t="n"/>
      <c r="H4" s="14" t="n">
        <v>0.9473684210526316</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12 months</t>
        </is>
      </c>
      <c r="C5" s="15" t="inlineStr">
        <is>
          <t>12 months</t>
        </is>
      </c>
      <c r="D5" s="14" t="n"/>
      <c r="E5" s="14" t="n"/>
      <c r="F5" s="14" t="n"/>
      <c r="G5" s="14" t="n"/>
      <c r="H5" s="14" t="n">
        <v>0.9681668496158069</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154 months</t>
        </is>
      </c>
      <c r="C6" s="15" t="inlineStr">
        <is>
          <t>154 months</t>
        </is>
      </c>
      <c r="D6" s="14" t="n"/>
      <c r="E6" s="14" t="n"/>
      <c r="F6" s="14" t="n"/>
      <c r="G6" s="14" t="n"/>
      <c r="H6" s="14" t="n">
        <v>0.9473684210526316</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36 months</t>
        </is>
      </c>
      <c r="C7" s="15" t="inlineStr">
        <is>
          <t>36 months</t>
        </is>
      </c>
      <c r="D7" s="14" t="n"/>
      <c r="E7" s="14" t="n"/>
      <c r="F7" s="14" t="n"/>
      <c r="G7" s="14" t="n"/>
      <c r="H7" s="14" t="n">
        <v>0.9705882352941176</v>
      </c>
      <c r="K7" s="17" t="inlineStr">
        <is>
          <t>Total Docs Tested</t>
        </is>
      </c>
      <c r="L7" s="19">
        <f>COUNTA(A2:A36)</f>
        <v/>
      </c>
      <c r="N7" s="17" t="inlineStr">
        <is>
          <t>Total Docs Tested</t>
        </is>
      </c>
      <c r="O7" s="19">
        <f>COUNTA(A2:A36)</f>
        <v/>
      </c>
    </row>
    <row r="8">
      <c r="A8" s="14" t="inlineStr">
        <is>
          <t>20260629 HOK ADHDcentraal BV (1).pdf</t>
        </is>
      </c>
      <c r="B8" s="14" t="inlineStr">
        <is>
          <t>24 months</t>
        </is>
      </c>
      <c r="C8" s="15" t="inlineStr">
        <is>
          <t>24 months</t>
        </is>
      </c>
      <c r="D8" s="14" t="n"/>
      <c r="E8" s="14" t="n"/>
      <c r="F8" s="14" t="n"/>
      <c r="G8" s="14" t="n"/>
      <c r="H8" s="14" t="n">
        <v>0.9705882352941176</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120 months</t>
        </is>
      </c>
      <c r="C9" s="15" t="inlineStr">
        <is>
          <t>120 months</t>
        </is>
      </c>
      <c r="D9" s="14" t="n"/>
      <c r="E9" s="14" t="n"/>
      <c r="F9" s="14" t="n"/>
      <c r="G9" s="14" t="n"/>
      <c r="H9" s="14" t="n">
        <v>0.9705882352941176</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24 months</t>
        </is>
      </c>
      <c r="C10" s="15" t="inlineStr">
        <is>
          <t>24 months</t>
        </is>
      </c>
      <c r="D10" s="14" t="n"/>
      <c r="E10" s="14" t="n"/>
      <c r="F10" s="14" t="n"/>
      <c r="G10" s="14" t="n"/>
      <c r="H10" s="14" t="n">
        <v>0.9705882352941176</v>
      </c>
      <c r="K10" s="20" t="inlineStr">
        <is>
          <t>Highlighted rows = file(s) not in the annotation sheet; excluded from all metrics above.</t>
        </is>
      </c>
    </row>
    <row r="11">
      <c r="A11" s="14" t="inlineStr">
        <is>
          <t>20270801 - Getekende Allonge II Advario BV.pdf</t>
        </is>
      </c>
      <c r="B11" s="14" t="inlineStr">
        <is>
          <t>60 months</t>
        </is>
      </c>
      <c r="C11" s="15" t="inlineStr">
        <is>
          <t>60 months</t>
        </is>
      </c>
      <c r="D11" s="14" t="n"/>
      <c r="E11" s="14" t="inlineStr">
        <is>
          <t>3</t>
        </is>
      </c>
      <c r="F11" s="14" t="n"/>
      <c r="G11" s="14" t="n"/>
      <c r="H11" s="14" t="n">
        <v>0.9705882352941176</v>
      </c>
      <c r="K11" s="17" t="inlineStr">
        <is>
          <t>Validation Rules Example</t>
        </is>
      </c>
    </row>
    <row r="12">
      <c r="A12" s="14" t="inlineStr">
        <is>
          <t>240119 HOVK Spoorlaan 446-448 Tilburg signed.pdf</t>
        </is>
      </c>
      <c r="B12" s="14" t="inlineStr">
        <is>
          <t>36 months</t>
        </is>
      </c>
      <c r="C12" s="15" t="inlineStr">
        <is>
          <t>36 months</t>
        </is>
      </c>
      <c r="D12" s="14" t="n"/>
      <c r="E12" s="14" t="n"/>
      <c r="F12" s="14" t="n"/>
      <c r="G12" s="14" t="n"/>
      <c r="H12" s="14" t="n">
        <v>0.9705882352941176</v>
      </c>
      <c r="K12" s="16" t="inlineStr">
        <is>
          <t>Manual Data</t>
        </is>
      </c>
      <c r="L12" s="16" t="inlineStr">
        <is>
          <t>Response Data</t>
        </is>
      </c>
      <c r="M12" s="16" t="inlineStr">
        <is>
          <t>Result</t>
        </is>
      </c>
    </row>
    <row r="13">
      <c r="A13" s="14" t="inlineStr">
        <is>
          <t>27001 Rijksvastgoedbedrijf Huurovereenkomst - __27-01-2026_9-07-56.pdf</t>
        </is>
      </c>
      <c r="B13" s="14" t="inlineStr">
        <is>
          <t>88 months</t>
        </is>
      </c>
      <c r="C13" s="15" t="inlineStr">
        <is>
          <t>88 months</t>
        </is>
      </c>
      <c r="D13" s="14" t="n"/>
      <c r="E13" s="14" t="n"/>
      <c r="F13" s="14" t="n"/>
      <c r="G13" s="14" t="n"/>
      <c r="H13" s="14" t="n">
        <v>0.9705882352941176</v>
      </c>
      <c r="K13" t="n">
        <v>100</v>
      </c>
      <c r="L13" t="n">
        <v>100</v>
      </c>
      <c r="M13" t="inlineStr">
        <is>
          <t>TP</t>
        </is>
      </c>
    </row>
    <row r="14">
      <c r="A14" s="14" t="inlineStr">
        <is>
          <t>CBRE_AT_Services_ENG_-_RITUALS_CBRE signed.pdf</t>
        </is>
      </c>
      <c r="B14" s="14" t="inlineStr">
        <is>
          <t>6 months</t>
        </is>
      </c>
      <c r="C14" s="15" t="inlineStr">
        <is>
          <t>6 months</t>
        </is>
      </c>
      <c r="D14" s="14" t="n"/>
      <c r="E14" s="14" t="n"/>
      <c r="F14" s="14" t="n"/>
      <c r="G14" s="14" t="n"/>
      <c r="H14" s="14" t="n">
        <v>0.9705882352941176</v>
      </c>
      <c r="L14" t="n">
        <v>100</v>
      </c>
      <c r="M14" t="inlineStr">
        <is>
          <t>FP</t>
        </is>
      </c>
    </row>
    <row r="15">
      <c r="A15" s="14" t="inlineStr">
        <is>
          <t>CBRE_Engagement_Letter_Alnylam_20260525_CLEAN_Version_signed all.pdf</t>
        </is>
      </c>
      <c r="B15" s="14" t="inlineStr">
        <is>
          <t>12 months</t>
        </is>
      </c>
      <c r="C15" s="15" t="inlineStr">
        <is>
          <t>12 months</t>
        </is>
      </c>
      <c r="D15" s="14" t="n"/>
      <c r="E15" s="14" t="n"/>
      <c r="F15" s="14" t="n"/>
      <c r="G15" s="14" t="n"/>
      <c r="H15" s="14" t="n">
        <v>0.8972222222222223</v>
      </c>
      <c r="K15" t="n">
        <v>100</v>
      </c>
      <c r="L15" t="n">
        <v>200</v>
      </c>
      <c r="M15" t="inlineStr">
        <is>
          <t>FP</t>
        </is>
      </c>
    </row>
    <row r="16">
      <c r="A16" s="14" t="inlineStr">
        <is>
          <t>COMPL DEF Huurovereenkomst - Skybox - Pepperl+Fuchs - 20260204.pdf</t>
        </is>
      </c>
      <c r="B16" s="14" t="inlineStr">
        <is>
          <t>60 months</t>
        </is>
      </c>
      <c r="C16" s="15" t="inlineStr">
        <is>
          <t>60 months</t>
        </is>
      </c>
      <c r="D16" s="14" t="n"/>
      <c r="E16" s="14" t="n"/>
      <c r="F16" s="14" t="n"/>
      <c r="G16" s="14" t="n"/>
      <c r="H16" s="14" t="n">
        <v>0.9705882352941176</v>
      </c>
      <c r="K16" t="n">
        <v>100</v>
      </c>
      <c r="M16" t="inlineStr">
        <is>
          <t>FN</t>
        </is>
      </c>
    </row>
    <row r="17">
      <c r="A17" s="14" t="inlineStr">
        <is>
          <t>COMPL Huurovereenkomst - Stichting CCE - Kantoorgebouw Metzpoint I Dr. Holtroplaan - Fully Signed.pdf</t>
        </is>
      </c>
      <c r="B17" s="14" t="inlineStr">
        <is>
          <t>120 months</t>
        </is>
      </c>
      <c r="C17" s="15" t="inlineStr">
        <is>
          <t>120 months</t>
        </is>
      </c>
      <c r="D17" s="14" t="n"/>
      <c r="E17" s="14" t="n"/>
      <c r="F17" s="14" t="n"/>
      <c r="G17" s="14" t="n"/>
      <c r="H17" s="14" t="n">
        <v>0.9705882352941176</v>
      </c>
      <c r="M17" t="inlineStr">
        <is>
          <t>TN</t>
        </is>
      </c>
    </row>
    <row r="18">
      <c r="A18" s="14" t="inlineStr">
        <is>
          <t>COMPL Regel Partners - HOVK - Luchthavenweg 81 - 20260728.pdf</t>
        </is>
      </c>
      <c r="B18" s="14" t="inlineStr">
        <is>
          <t>60 months</t>
        </is>
      </c>
      <c r="C18" s="15" t="inlineStr">
        <is>
          <t>60 months</t>
        </is>
      </c>
      <c r="D18" s="14" t="n"/>
      <c r="E18" s="14" t="n"/>
      <c r="F18" s="14" t="n"/>
      <c r="G18" s="14" t="n"/>
      <c r="H18" s="14" t="n">
        <v>0.955435708203236</v>
      </c>
    </row>
    <row r="19">
      <c r="A19" s="14" t="inlineStr">
        <is>
          <t>COMPL_-_Onderhuurovereenkomst_Zelfstroom_B.V._-_50five_B.V._-_kantoorgebouw_Riva_-_05032026.pdf</t>
        </is>
      </c>
      <c r="B19" s="14" t="inlineStr">
        <is>
          <t>2 months</t>
        </is>
      </c>
      <c r="C19" s="15" t="inlineStr">
        <is>
          <t>2 months</t>
        </is>
      </c>
      <c r="D19" s="14" t="n"/>
      <c r="E19" s="14" t="n"/>
      <c r="F19" s="14" t="n"/>
      <c r="G19" s="14" t="n"/>
      <c r="H19" s="14" t="n">
        <v>0.955435708203236</v>
      </c>
      <c r="K19" s="17" t="inlineStr">
        <is>
          <t>Field:</t>
        </is>
      </c>
      <c r="L19" t="inlineStr">
        <is>
          <t>Terms / Lease_Term</t>
        </is>
      </c>
    </row>
    <row r="20">
      <c r="A20" s="14" t="inlineStr">
        <is>
          <t>Den Bosch, Ruwekampweg 4, HOVK getekend.pdf</t>
        </is>
      </c>
      <c r="B20" s="14" t="inlineStr">
        <is>
          <t>120 months</t>
        </is>
      </c>
      <c r="C20" s="15" t="inlineStr">
        <is>
          <t>120 months</t>
        </is>
      </c>
      <c r="D20" s="14" t="n"/>
      <c r="E20" s="14" t="n"/>
      <c r="F20" s="14" t="n"/>
      <c r="G20" s="14" t="n"/>
      <c r="H20" s="14" t="n">
        <v>0.9705882352941176</v>
      </c>
    </row>
    <row r="21">
      <c r="A21" s="14" t="inlineStr">
        <is>
          <t>FULLY SIGNED - COMPL Huurovereenkomst - Heijmans - Hugo de Grootlaan 23 's-Hertogenbosch V2 30-9-2025.pdf</t>
        </is>
      </c>
      <c r="B21" s="14" t="inlineStr">
        <is>
          <t>12 months</t>
        </is>
      </c>
      <c r="C21" s="15" t="inlineStr">
        <is>
          <t>12 months</t>
        </is>
      </c>
      <c r="D21" s="14" t="n"/>
      <c r="E21" s="14" t="n"/>
      <c r="F21" s="14" t="n"/>
      <c r="G21" s="14" t="n"/>
      <c r="H21" s="14" t="n">
        <v>0.9473684210526316</v>
      </c>
    </row>
    <row r="22">
      <c r="A22" s="14" t="inlineStr">
        <is>
          <t>FULLY SIGNED - DEF_COMPL_Huurovereenkomst_Robo_Charge_-_Campus_Offices_-_20260220.pdf</t>
        </is>
      </c>
      <c r="B22" s="14" t="inlineStr">
        <is>
          <t>60 months</t>
        </is>
      </c>
      <c r="C22" s="15" t="inlineStr">
        <is>
          <t>60 months</t>
        </is>
      </c>
      <c r="D22" s="14" t="n"/>
      <c r="E22" s="14" t="n"/>
      <c r="F22" s="14" t="n"/>
      <c r="G22" s="14" t="n"/>
      <c r="H22" s="14" t="n">
        <v>0.955435708203236</v>
      </c>
    </row>
    <row r="23">
      <c r="A23" s="14" t="inlineStr">
        <is>
          <t>FULLY SIGNED - Onderhuurovereenkomst Aartshertogenlaan 223, `s-Hertogenbosch - Koning Willem I College B.V. 2606202.pdf</t>
        </is>
      </c>
      <c r="B23" s="14" t="inlineStr">
        <is>
          <t>48 months</t>
        </is>
      </c>
      <c r="C23" s="15" t="inlineStr">
        <is>
          <t>48 months</t>
        </is>
      </c>
      <c r="D23" s="14" t="n"/>
      <c r="E23" s="14" t="n"/>
      <c r="F23" s="14" t="n"/>
      <c r="G23" s="14" t="n"/>
      <c r="H23" s="14" t="n">
        <v>0.9473684210526316</v>
      </c>
    </row>
    <row r="24">
      <c r="A24" s="14" t="inlineStr">
        <is>
          <t>FULLY SIGNED COMPL_DEF_Huurovereenkomst_Bond_Bergschot_Breda.pdf</t>
        </is>
      </c>
      <c r="B24" s="14" t="inlineStr">
        <is>
          <t>42 months</t>
        </is>
      </c>
      <c r="C24" s="15" t="inlineStr">
        <is>
          <t>42 months</t>
        </is>
      </c>
      <c r="D24" s="14" t="n"/>
      <c r="E24" s="14" t="n"/>
      <c r="F24" s="14" t="n"/>
      <c r="G24" s="14" t="n"/>
      <c r="H24" s="14" t="n">
        <v>0.9705882352941176</v>
      </c>
    </row>
    <row r="25">
      <c r="A25" s="14" t="inlineStr">
        <is>
          <t>FullySigned_Allonge_II_Virtual_Vaults_Nederland.pdf</t>
        </is>
      </c>
      <c r="B25" s="14" t="inlineStr">
        <is>
          <t>108 months</t>
        </is>
      </c>
      <c r="C25" s="15" t="inlineStr">
        <is>
          <t>108 months</t>
        </is>
      </c>
      <c r="D25" s="14" t="n"/>
      <c r="E25" s="14" t="n"/>
      <c r="F25" s="14" t="n"/>
      <c r="G25" s="14" t="n"/>
      <c r="H25" s="14" t="n">
        <v>0.9482858803021499</v>
      </c>
    </row>
    <row r="26">
      <c r="A26" s="14" t="inlineStr">
        <is>
          <t>FullySigned_Lease_Agreement_Neste_EDGE_Coolsingel.pdf</t>
        </is>
      </c>
      <c r="B26" s="14" t="inlineStr">
        <is>
          <t>60 months</t>
        </is>
      </c>
      <c r="C26" s="15" t="inlineStr">
        <is>
          <t>60 months</t>
        </is>
      </c>
      <c r="D26" s="14" t="n"/>
      <c r="E26" s="14" t="n"/>
      <c r="F26" s="14" t="n"/>
      <c r="G26" s="14" t="n"/>
      <c r="H26" s="14" t="n">
        <v>0.9705882352941176</v>
      </c>
    </row>
    <row r="27">
      <c r="A27" s="14" t="inlineStr">
        <is>
          <t>HOK Waalhaven Group (signed).pdf</t>
        </is>
      </c>
      <c r="B27" s="14" t="inlineStr">
        <is>
          <t>60 months</t>
        </is>
      </c>
      <c r="C27" s="15" t="inlineStr">
        <is>
          <t>60 months</t>
        </is>
      </c>
      <c r="D27" s="14" t="n"/>
      <c r="E27" s="14" t="n"/>
      <c r="F27" s="14" t="n"/>
      <c r="G27" s="14" t="n"/>
      <c r="H27" s="14" t="n">
        <v>0.9705882352941176</v>
      </c>
    </row>
    <row r="28">
      <c r="A28" s="14" t="inlineStr">
        <is>
          <t>Hovk Avans  (3e+4e+5e verd.) 20140425.pdf</t>
        </is>
      </c>
      <c r="B28" s="14" t="inlineStr">
        <is>
          <t>62 months</t>
        </is>
      </c>
      <c r="C28" s="15" t="inlineStr">
        <is>
          <t>62 months</t>
        </is>
      </c>
      <c r="D28" s="14" t="n"/>
      <c r="E28" s="14" t="n"/>
      <c r="F28" s="14" t="n"/>
      <c r="G28" s="14" t="n"/>
      <c r="H28" s="14" t="n">
        <v>0.9705882352941176</v>
      </c>
    </row>
    <row r="29">
      <c r="A29" s="14" t="inlineStr">
        <is>
          <t>HOVK Power4People 2025.pdf</t>
        </is>
      </c>
      <c r="B29" s="14" t="inlineStr">
        <is>
          <t>12 months</t>
        </is>
      </c>
      <c r="C29" s="15" t="inlineStr">
        <is>
          <t>12 months</t>
        </is>
      </c>
      <c r="D29" s="14" t="n"/>
      <c r="E29" s="14" t="n"/>
      <c r="F29" s="14" t="n"/>
      <c r="G29" s="14" t="n"/>
      <c r="H29" s="14" t="n">
        <v>0.9681668496158069</v>
      </c>
    </row>
    <row r="30">
      <c r="A30" s="14" t="inlineStr">
        <is>
          <t>Huurovereenkomst (Semmie Group B.V.) - Wilhelminasingel 19, Breda.pdf</t>
        </is>
      </c>
      <c r="B30" s="14" t="inlineStr">
        <is>
          <t>39 months</t>
        </is>
      </c>
      <c r="C30" s="15" t="inlineStr">
        <is>
          <t>39 months</t>
        </is>
      </c>
      <c r="D30" s="14" t="n"/>
      <c r="E30" s="14" t="n"/>
      <c r="F30" s="14" t="n"/>
      <c r="G30" s="14" t="n"/>
      <c r="H30" s="14" t="n">
        <v>0.8518573551263003</v>
      </c>
    </row>
    <row r="31">
      <c r="A31" s="14" t="inlineStr">
        <is>
          <t>Huurovereenkomst - proces-verbaal van oplevering - sleuteloverdracht - Kennedyplein 101 - getekend.pdf</t>
        </is>
      </c>
      <c r="B31" s="14" t="inlineStr">
        <is>
          <t>36 months</t>
        </is>
      </c>
      <c r="C31" s="15" t="inlineStr">
        <is>
          <t>36 months</t>
        </is>
      </c>
      <c r="D31" s="14" t="n"/>
      <c r="E31" s="14" t="n"/>
      <c r="F31" s="14" t="n"/>
      <c r="G31" s="14" t="n"/>
      <c r="H31" s="14" t="n">
        <v>0.9681668496158069</v>
      </c>
    </row>
    <row r="32">
      <c r="A32" s="14" t="inlineStr">
        <is>
          <t>Huurovereenkomst Bijster 5 te Breda getekend.pdf</t>
        </is>
      </c>
      <c r="B32" s="14" t="inlineStr">
        <is>
          <t>60 months</t>
        </is>
      </c>
      <c r="C32" s="15" t="inlineStr">
        <is>
          <t>60 months</t>
        </is>
      </c>
      <c r="D32" s="14" t="n"/>
      <c r="E32" s="14" t="n"/>
      <c r="F32" s="14" t="n"/>
      <c r="G32" s="14" t="n"/>
      <c r="H32" s="14" t="n">
        <v>0.9473684210526316</v>
      </c>
    </row>
    <row r="33">
      <c r="A33" s="14" t="inlineStr">
        <is>
          <t>Huurovereenkomst Catena Pand Son - Skymark (Son en Breugel - NLD).pdf</t>
        </is>
      </c>
      <c r="B33" s="14" t="inlineStr">
        <is>
          <t>120 months</t>
        </is>
      </c>
      <c r="C33" s="15" t="inlineStr">
        <is>
          <t>120 months</t>
        </is>
      </c>
      <c r="D33" s="14" t="n"/>
      <c r="E33" s="14" t="n"/>
      <c r="F33" s="14" t="n"/>
      <c r="G33" s="14" t="n"/>
      <c r="H33" s="14" t="n">
        <v>0.9705882352941176</v>
      </c>
    </row>
    <row r="34">
      <c r="A34" s="14" t="inlineStr">
        <is>
          <t>Huurovereenkomst KPN Opstelpunt Parallelweg 64 20130313.pdf</t>
        </is>
      </c>
      <c r="B34" s="14" t="inlineStr">
        <is>
          <t>180 months</t>
        </is>
      </c>
      <c r="C34" s="15" t="inlineStr">
        <is>
          <t>180 months</t>
        </is>
      </c>
      <c r="D34" s="14" t="n"/>
      <c r="E34" s="14" t="n"/>
      <c r="F34" s="14" t="n"/>
      <c r="G34" s="14" t="n"/>
      <c r="H34" s="14" t="n">
        <v>0.9681668496158069</v>
      </c>
    </row>
    <row r="35">
      <c r="A35" s="14" t="inlineStr">
        <is>
          <t>Huurovereenkomst PBG Parallelweg 64 (beg.grond) 20121008.pdf</t>
        </is>
      </c>
      <c r="B35" s="14" t="inlineStr">
        <is>
          <t>60 months</t>
        </is>
      </c>
      <c r="C35" s="15" t="inlineStr">
        <is>
          <t>60 months</t>
        </is>
      </c>
      <c r="D35" s="14" t="n"/>
      <c r="E35" s="14" t="n"/>
      <c r="F35" s="14" t="n"/>
      <c r="G35" s="14" t="n"/>
      <c r="H35" s="14" t="n">
        <v>0.9473684210526316</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0</t>
        </is>
      </c>
      <c r="C2" s="15" t="inlineStr">
        <is>
          <t>0</t>
        </is>
      </c>
      <c r="D2" s="14" t="n"/>
      <c r="E2" s="14" t="n"/>
      <c r="F2" s="14" t="n"/>
      <c r="G2" s="14" t="n"/>
      <c r="H2" s="14" t="n">
        <v>0.955435708203236</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1</t>
        </is>
      </c>
      <c r="C3" s="15" t="inlineStr">
        <is>
          <t>1</t>
        </is>
      </c>
      <c r="D3" s="14" t="n"/>
      <c r="E3" s="14" t="n"/>
      <c r="F3" s="14" t="n"/>
      <c r="G3" s="14" t="n"/>
      <c r="H3" s="14" t="n">
        <v>0.9530892448512585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0</t>
        </is>
      </c>
      <c r="C4" s="15" t="inlineStr">
        <is>
          <t>0</t>
        </is>
      </c>
      <c r="D4" s="14" t="n"/>
      <c r="E4" s="14" t="n"/>
      <c r="F4" s="14" t="n"/>
      <c r="G4" s="14" t="n"/>
      <c r="H4" s="14" t="n">
        <v>0.950706255405016</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0</t>
        </is>
      </c>
      <c r="C5" s="15" t="inlineStr">
        <is>
          <t>0</t>
        </is>
      </c>
      <c r="D5" s="14" t="n"/>
      <c r="E5" s="14" t="n"/>
      <c r="F5" s="14" t="n"/>
      <c r="G5" s="14" t="n"/>
      <c r="H5" s="14" t="n">
        <v>0.955435708203236</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0</t>
        </is>
      </c>
      <c r="C6" s="15" t="inlineStr">
        <is>
          <t>0</t>
        </is>
      </c>
      <c r="D6" s="14" t="n"/>
      <c r="E6" s="14" t="n"/>
      <c r="F6" s="14" t="n"/>
      <c r="G6" s="14" t="n"/>
      <c r="H6" s="14" t="n">
        <v>0.9189189189189189</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1</t>
        </is>
      </c>
      <c r="C7" s="15" t="inlineStr">
        <is>
          <t>1</t>
        </is>
      </c>
      <c r="D7" s="14" t="n"/>
      <c r="E7" s="14" t="n"/>
      <c r="F7" s="14" t="n"/>
      <c r="G7" s="14" t="n"/>
      <c r="H7" s="14" t="n">
        <v>0.955435708203236</v>
      </c>
      <c r="K7" s="17" t="inlineStr">
        <is>
          <t>Total Docs Tested</t>
        </is>
      </c>
      <c r="L7" s="19">
        <f>COUNTA(A2:A36)</f>
        <v/>
      </c>
      <c r="N7" s="17" t="inlineStr">
        <is>
          <t>Total Docs Tested</t>
        </is>
      </c>
      <c r="O7" s="19">
        <f>COUNTA(A2:A36)</f>
        <v/>
      </c>
    </row>
    <row r="8">
      <c r="A8" s="14" t="inlineStr">
        <is>
          <t>20260629 HOK ADHDcentraal BV (1).pdf</t>
        </is>
      </c>
      <c r="B8" s="14" t="inlineStr">
        <is>
          <t>3</t>
        </is>
      </c>
      <c r="C8" s="15" t="inlineStr">
        <is>
          <t>3</t>
        </is>
      </c>
      <c r="D8" s="14" t="n"/>
      <c r="E8" s="14" t="n"/>
      <c r="F8" s="14" t="n"/>
      <c r="G8" s="14" t="n"/>
      <c r="H8" s="14" t="n">
        <v>0.955435708203236</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3</t>
        </is>
      </c>
      <c r="C9" s="15" t="inlineStr">
        <is>
          <t>3</t>
        </is>
      </c>
      <c r="D9" s="14" t="n"/>
      <c r="E9" s="14" t="n"/>
      <c r="F9" s="14" t="n"/>
      <c r="G9" s="14" t="n"/>
      <c r="H9" s="14" t="n">
        <v>0.955435708203236</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3</t>
        </is>
      </c>
      <c r="C10" s="15" t="inlineStr">
        <is>
          <t>3</t>
        </is>
      </c>
      <c r="D10" s="14" t="n"/>
      <c r="E10" s="14" t="n"/>
      <c r="F10" s="14" t="n"/>
      <c r="G10" s="14" t="n"/>
      <c r="H10" s="14" t="n">
        <v>0.9189189189189189</v>
      </c>
      <c r="K10" s="20" t="inlineStr">
        <is>
          <t>Highlighted rows = file(s) not in the annotation sheet; excluded from all metrics above.</t>
        </is>
      </c>
    </row>
    <row r="11">
      <c r="A11" s="14" t="inlineStr">
        <is>
          <t>20270801 - Getekende Allonge II Advario BV.pdf</t>
        </is>
      </c>
      <c r="B11" s="14" t="inlineStr">
        <is>
          <t>6</t>
        </is>
      </c>
      <c r="C11" s="15" t="inlineStr">
        <is>
          <t>6</t>
        </is>
      </c>
      <c r="D11" s="14" t="n"/>
      <c r="E11" s="14" t="inlineStr">
        <is>
          <t>5</t>
        </is>
      </c>
      <c r="F11" s="14" t="n"/>
      <c r="G11" s="14" t="n"/>
      <c r="H11" s="14" t="n">
        <v>0.955435708203236</v>
      </c>
      <c r="K11" s="17" t="inlineStr">
        <is>
          <t>Validation Rules Example</t>
        </is>
      </c>
    </row>
    <row r="12">
      <c r="A12" s="14" t="inlineStr">
        <is>
          <t>240119 HOVK Spoorlaan 446-448 Tilburg signed.pdf</t>
        </is>
      </c>
      <c r="B12" s="14" t="inlineStr">
        <is>
          <t>0</t>
        </is>
      </c>
      <c r="C12" s="15" t="inlineStr">
        <is>
          <t>0</t>
        </is>
      </c>
      <c r="D12" s="14" t="n"/>
      <c r="E12" s="14" t="n"/>
      <c r="F12" s="14" t="n"/>
      <c r="G12" s="14" t="n"/>
      <c r="H12" s="14" t="n">
        <v>0.955435708203236</v>
      </c>
      <c r="K12" s="16" t="inlineStr">
        <is>
          <t>Manual Data</t>
        </is>
      </c>
      <c r="L12" s="16" t="inlineStr">
        <is>
          <t>Response Data</t>
        </is>
      </c>
      <c r="M12" s="16" t="inlineStr">
        <is>
          <t>Result</t>
        </is>
      </c>
    </row>
    <row r="13">
      <c r="A13" s="14" t="inlineStr">
        <is>
          <t>27001 Rijksvastgoedbedrijf Huurovereenkomst - __27-01-2026_9-07-56.pdf</t>
        </is>
      </c>
      <c r="B13" s="14" t="inlineStr">
        <is>
          <t>0</t>
        </is>
      </c>
      <c r="C13" s="15" t="inlineStr">
        <is>
          <t>0</t>
        </is>
      </c>
      <c r="D13" s="14" t="n"/>
      <c r="E13" s="14" t="n"/>
      <c r="F13" s="14" t="n"/>
      <c r="G13" s="14" t="n"/>
      <c r="H13" s="14" t="n">
        <v>0.955435708203236</v>
      </c>
      <c r="K13" t="n">
        <v>100</v>
      </c>
      <c r="L13" t="n">
        <v>100</v>
      </c>
      <c r="M13" t="inlineStr">
        <is>
          <t>TP</t>
        </is>
      </c>
    </row>
    <row r="14">
      <c r="A14" s="14" t="inlineStr">
        <is>
          <t>CBRE_AT_Services_ENG_-_RITUALS_CBRE signed.pdf</t>
        </is>
      </c>
      <c r="B14" s="14" t="inlineStr">
        <is>
          <t>0</t>
        </is>
      </c>
      <c r="C14" s="15" t="inlineStr">
        <is>
          <t>0</t>
        </is>
      </c>
      <c r="D14" s="14" t="n"/>
      <c r="E14" s="14" t="n"/>
      <c r="F14" s="14" t="n"/>
      <c r="G14" s="14" t="n"/>
      <c r="H14" s="14" t="n">
        <v>0.9458272327964862</v>
      </c>
      <c r="L14" t="n">
        <v>100</v>
      </c>
      <c r="M14" t="inlineStr">
        <is>
          <t>FP</t>
        </is>
      </c>
    </row>
    <row r="15">
      <c r="A15" s="14" t="inlineStr">
        <is>
          <t>CBRE_Engagement_Letter_Alnylam_20260525_CLEAN_Version_signed all.pdf</t>
        </is>
      </c>
      <c r="B15" s="14" t="inlineStr">
        <is>
          <t>0</t>
        </is>
      </c>
      <c r="C15" s="15" t="inlineStr">
        <is>
          <t>0</t>
        </is>
      </c>
      <c r="D15" s="14" t="n"/>
      <c r="E15" s="14" t="n"/>
      <c r="F15" s="14" t="n"/>
      <c r="G15" s="14" t="n"/>
      <c r="H15" s="14" t="n">
        <v>0.9530892448512585</v>
      </c>
      <c r="K15" t="n">
        <v>100</v>
      </c>
      <c r="L15" t="n">
        <v>200</v>
      </c>
      <c r="M15" t="inlineStr">
        <is>
          <t>FP</t>
        </is>
      </c>
    </row>
    <row r="16">
      <c r="A16" s="14" t="inlineStr">
        <is>
          <t>COMPL DEF Huurovereenkomst - Skybox - Pepperl+Fuchs - 20260204.pdf</t>
        </is>
      </c>
      <c r="B16" s="14" t="inlineStr">
        <is>
          <t>0</t>
        </is>
      </c>
      <c r="C16" s="15" t="inlineStr">
        <is>
          <t>0</t>
        </is>
      </c>
      <c r="D16" s="14" t="n"/>
      <c r="E16" s="14" t="n"/>
      <c r="F16" s="14" t="n"/>
      <c r="G16" s="14" t="n"/>
      <c r="H16" s="14" t="n">
        <v>0.955435708203236</v>
      </c>
      <c r="K16" t="n">
        <v>100</v>
      </c>
      <c r="M16" t="inlineStr">
        <is>
          <t>FN</t>
        </is>
      </c>
    </row>
    <row r="17">
      <c r="A17" s="14" t="inlineStr">
        <is>
          <t>COMPL Huurovereenkomst - Stichting CCE - Kantoorgebouw Metzpoint I Dr. Holtroplaan - Fully Signed.pdf</t>
        </is>
      </c>
      <c r="B17" s="14" t="inlineStr">
        <is>
          <t>2</t>
        </is>
      </c>
      <c r="C17" s="15" t="inlineStr">
        <is>
          <t>2</t>
        </is>
      </c>
      <c r="D17" s="14" t="n"/>
      <c r="E17" s="14" t="n"/>
      <c r="F17" s="14" t="n"/>
      <c r="G17" s="14" t="n"/>
      <c r="H17" s="14" t="n">
        <v>0.955435708203236</v>
      </c>
      <c r="M17" t="inlineStr">
        <is>
          <t>TN</t>
        </is>
      </c>
    </row>
    <row r="18">
      <c r="A18" s="14" t="inlineStr">
        <is>
          <t>COMPL Regel Partners - HOVK - Luchthavenweg 81 - 20260728.pdf</t>
        </is>
      </c>
      <c r="B18" s="14" t="inlineStr">
        <is>
          <t>0</t>
        </is>
      </c>
      <c r="C18" s="15" t="inlineStr">
        <is>
          <t>0</t>
        </is>
      </c>
      <c r="D18" s="14" t="n"/>
      <c r="E18" s="14" t="n"/>
      <c r="F18" s="14" t="n"/>
      <c r="G18" s="14" t="n"/>
      <c r="H18" s="14" t="n">
        <v>0.955435708203236</v>
      </c>
    </row>
    <row r="19">
      <c r="A19" s="14" t="inlineStr">
        <is>
          <t>COMPL_-_Onderhuurovereenkomst_Zelfstroom_B.V._-_50five_B.V._-_kantoorgebouw_Riva_-_05032026.pdf</t>
        </is>
      </c>
      <c r="B19" s="14" t="inlineStr">
        <is>
          <t>2</t>
        </is>
      </c>
      <c r="C19" s="15" t="inlineStr">
        <is>
          <t>2</t>
        </is>
      </c>
      <c r="D19" s="14" t="n"/>
      <c r="E19" s="14" t="n"/>
      <c r="F19" s="14" t="n"/>
      <c r="G19" s="14" t="n"/>
      <c r="H19" s="14" t="n">
        <v>0.9189189189189189</v>
      </c>
      <c r="K19" s="17" t="inlineStr">
        <is>
          <t>Field:</t>
        </is>
      </c>
      <c r="L19" t="inlineStr">
        <is>
          <t>Terms / Number_Of_Month_Free_Rent</t>
        </is>
      </c>
    </row>
    <row r="20">
      <c r="A20" s="14" t="inlineStr">
        <is>
          <t>Den Bosch, Ruwekampweg 4, HOVK getekend.pdf</t>
        </is>
      </c>
      <c r="B20" s="14" t="inlineStr">
        <is>
          <t>0</t>
        </is>
      </c>
      <c r="C20" s="15" t="inlineStr">
        <is>
          <t>0</t>
        </is>
      </c>
      <c r="D20" s="14" t="n"/>
      <c r="E20" s="14" t="n"/>
      <c r="F20" s="14" t="n"/>
      <c r="G20" s="14" t="n"/>
      <c r="H20" s="14" t="n">
        <v>0.9189189189189189</v>
      </c>
    </row>
    <row r="21">
      <c r="A21" s="14" t="inlineStr">
        <is>
          <t>FULLY SIGNED - COMPL Huurovereenkomst - Heijmans - Hugo de Grootlaan 23 's-Hertogenbosch V2 30-9-2025.pdf</t>
        </is>
      </c>
      <c r="B21" s="14" t="inlineStr">
        <is>
          <t>1</t>
        </is>
      </c>
      <c r="C21" s="15" t="inlineStr">
        <is>
          <t>1</t>
        </is>
      </c>
      <c r="D21" s="14" t="n"/>
      <c r="E21" s="14" t="n"/>
      <c r="F21" s="14" t="n"/>
      <c r="G21" s="14" t="n"/>
      <c r="H21" s="14" t="n">
        <v>0.955435708203236</v>
      </c>
    </row>
    <row r="22">
      <c r="A22" s="14" t="inlineStr">
        <is>
          <t>FULLY SIGNED - DEF_COMPL_Huurovereenkomst_Robo_Charge_-_Campus_Offices_-_20260220.pdf</t>
        </is>
      </c>
      <c r="B22" s="14" t="inlineStr">
        <is>
          <t>5</t>
        </is>
      </c>
      <c r="C22" s="15" t="inlineStr">
        <is>
          <t>5</t>
        </is>
      </c>
      <c r="D22" s="14" t="n"/>
      <c r="E22" s="14" t="n"/>
      <c r="F22" s="14" t="n"/>
      <c r="G22" s="14" t="n"/>
      <c r="H22" s="14" t="n">
        <v>0.955435708203236</v>
      </c>
    </row>
    <row r="23">
      <c r="A23" s="14" t="inlineStr">
        <is>
          <t>FULLY SIGNED - Onderhuurovereenkomst Aartshertogenlaan 223, `s-Hertogenbosch - Koning Willem I College B.V. 2606202.pdf</t>
        </is>
      </c>
      <c r="B23" s="14" t="inlineStr">
        <is>
          <t>5</t>
        </is>
      </c>
      <c r="C23" s="15" t="inlineStr">
        <is>
          <t>5</t>
        </is>
      </c>
      <c r="D23" s="14" t="n"/>
      <c r="E23" s="14" t="n"/>
      <c r="F23" s="14" t="n"/>
      <c r="G23" s="14" t="n"/>
      <c r="H23" s="14" t="n">
        <v>0.955435708203236</v>
      </c>
    </row>
    <row r="24">
      <c r="A24" s="14" t="inlineStr">
        <is>
          <t>FULLY SIGNED COMPL_DEF_Huurovereenkomst_Bond_Bergschot_Breda.pdf</t>
        </is>
      </c>
      <c r="B24" s="14" t="inlineStr">
        <is>
          <t>4</t>
        </is>
      </c>
      <c r="C24" s="15" t="inlineStr">
        <is>
          <t>4</t>
        </is>
      </c>
      <c r="D24" s="14" t="n"/>
      <c r="E24" s="14" t="n"/>
      <c r="F24" s="14" t="n"/>
      <c r="G24" s="14" t="n"/>
      <c r="H24" s="14" t="n">
        <v>0.955435708203236</v>
      </c>
    </row>
    <row r="25">
      <c r="A25" s="14" t="inlineStr">
        <is>
          <t>FullySigned_Allonge_II_Virtual_Vaults_Nederland.pdf</t>
        </is>
      </c>
      <c r="B25" s="14" t="inlineStr">
        <is>
          <t>6</t>
        </is>
      </c>
      <c r="C25" s="15" t="inlineStr">
        <is>
          <t>6</t>
        </is>
      </c>
      <c r="D25" s="14" t="n"/>
      <c r="E25" s="14" t="n"/>
      <c r="F25" s="14" t="n"/>
      <c r="G25" s="14" t="n"/>
      <c r="H25" s="14" t="n">
        <v>0.955435708203236</v>
      </c>
    </row>
    <row r="26">
      <c r="A26" s="14" t="inlineStr">
        <is>
          <t>FullySigned_Lease_Agreement_Neste_EDGE_Coolsingel.pdf</t>
        </is>
      </c>
      <c r="B26" s="14" t="inlineStr">
        <is>
          <t>9</t>
        </is>
      </c>
      <c r="C26" s="15" t="inlineStr">
        <is>
          <t>9</t>
        </is>
      </c>
      <c r="D26" s="14" t="n"/>
      <c r="E26" s="14" t="n"/>
      <c r="F26" s="14" t="n"/>
      <c r="G26" s="14" t="n"/>
      <c r="H26" s="14" t="n">
        <v>0.955435708203236</v>
      </c>
    </row>
    <row r="27">
      <c r="A27" s="14" t="inlineStr">
        <is>
          <t>HOK Waalhaven Group (signed).pdf</t>
        </is>
      </c>
      <c r="B27" s="14" t="inlineStr">
        <is>
          <t>7</t>
        </is>
      </c>
      <c r="C27" s="15" t="inlineStr">
        <is>
          <t>7</t>
        </is>
      </c>
      <c r="D27" s="14" t="n"/>
      <c r="E27" s="14" t="n"/>
      <c r="F27" s="14" t="n"/>
      <c r="G27" s="14" t="n"/>
      <c r="H27" s="14" t="n">
        <v>0.955435708203236</v>
      </c>
    </row>
    <row r="28">
      <c r="A28" s="14" t="inlineStr">
        <is>
          <t>Hovk Avans  (3e+4e+5e verd.) 20140425.pdf</t>
        </is>
      </c>
      <c r="B28" s="14" t="inlineStr">
        <is>
          <t>0</t>
        </is>
      </c>
      <c r="C28" s="15" t="inlineStr">
        <is>
          <t>0</t>
        </is>
      </c>
      <c r="D28" s="14" t="n"/>
      <c r="E28" s="14" t="n"/>
      <c r="F28" s="14" t="n"/>
      <c r="G28" s="14" t="n"/>
      <c r="H28" s="14" t="n">
        <v>0.955435708203236</v>
      </c>
    </row>
    <row r="29">
      <c r="A29" s="14" t="inlineStr">
        <is>
          <t>HOVK Power4People 2025.pdf</t>
        </is>
      </c>
      <c r="B29" s="14" t="inlineStr">
        <is>
          <t>0</t>
        </is>
      </c>
      <c r="C29" s="15" t="inlineStr">
        <is>
          <t>0</t>
        </is>
      </c>
      <c r="D29" s="14" t="n"/>
      <c r="E29" s="14" t="n"/>
      <c r="F29" s="14" t="n"/>
      <c r="G29" s="14" t="n"/>
      <c r="H29" s="14" t="n">
        <v>0.955435708203236</v>
      </c>
    </row>
    <row r="30">
      <c r="A30" s="14" t="inlineStr">
        <is>
          <t>Huurovereenkomst (Semmie Group B.V.) - Wilhelminasingel 19, Breda.pdf</t>
        </is>
      </c>
      <c r="B30" s="14" t="inlineStr">
        <is>
          <t>3.5</t>
        </is>
      </c>
      <c r="C30" s="15" t="inlineStr">
        <is>
          <t>3.5</t>
        </is>
      </c>
      <c r="D30" s="14" t="n"/>
      <c r="E30" s="14" t="n"/>
      <c r="F30" s="14" t="n"/>
      <c r="G30" s="14" t="n"/>
      <c r="H30" s="14" t="n">
        <v>0.955435708203236</v>
      </c>
    </row>
    <row r="31">
      <c r="A31" s="14" t="inlineStr">
        <is>
          <t>Huurovereenkomst - proces-verbaal van oplevering - sleuteloverdracht - Kennedyplein 101 - getekend.pdf</t>
        </is>
      </c>
      <c r="B31" s="14" t="inlineStr">
        <is>
          <t>3</t>
        </is>
      </c>
      <c r="C31" s="15" t="inlineStr">
        <is>
          <t>3</t>
        </is>
      </c>
      <c r="D31" s="14" t="n"/>
      <c r="E31" s="14" t="n"/>
      <c r="F31" s="14" t="n"/>
      <c r="G31" s="14" t="n"/>
      <c r="H31" s="14" t="n">
        <v>0.955435708203236</v>
      </c>
    </row>
    <row r="32">
      <c r="A32" s="14" t="inlineStr">
        <is>
          <t>Huurovereenkomst Bijster 5 te Breda getekend.pdf</t>
        </is>
      </c>
      <c r="B32" s="14" t="inlineStr">
        <is>
          <t>2</t>
        </is>
      </c>
      <c r="C32" s="15" t="inlineStr">
        <is>
          <t>2</t>
        </is>
      </c>
      <c r="D32" s="14" t="n"/>
      <c r="E32" s="14" t="n"/>
      <c r="F32" s="14" t="n"/>
      <c r="G32" s="14" t="n"/>
      <c r="H32" s="14" t="n">
        <v>0.9530892448512585</v>
      </c>
    </row>
    <row r="33">
      <c r="A33" s="14" t="inlineStr">
        <is>
          <t>Huurovereenkomst Catena Pand Son - Skymark (Son en Breugel - NLD).pdf</t>
        </is>
      </c>
      <c r="B33" s="14" t="inlineStr">
        <is>
          <t>0</t>
        </is>
      </c>
      <c r="C33" s="15" t="inlineStr">
        <is>
          <t>0</t>
        </is>
      </c>
      <c r="D33" s="14" t="n"/>
      <c r="E33" s="14" t="n"/>
      <c r="F33" s="14" t="n"/>
      <c r="G33" s="14" t="n"/>
      <c r="H33" s="14" t="n">
        <v>0.955435708203236</v>
      </c>
    </row>
    <row r="34">
      <c r="A34" s="14" t="inlineStr">
        <is>
          <t>Huurovereenkomst KPN Opstelpunt Parallelweg 64 20130313.pdf</t>
        </is>
      </c>
      <c r="B34" s="14" t="inlineStr">
        <is>
          <t>0</t>
        </is>
      </c>
      <c r="C34" s="15" t="inlineStr">
        <is>
          <t>0</t>
        </is>
      </c>
      <c r="D34" s="14" t="n"/>
      <c r="E34" s="14" t="n"/>
      <c r="F34" s="14" t="n"/>
      <c r="G34" s="14" t="n"/>
      <c r="H34" s="14" t="n">
        <v>0.9189189189189189</v>
      </c>
    </row>
    <row r="35">
      <c r="A35" s="14" t="inlineStr">
        <is>
          <t>Huurovereenkomst PBG Parallelweg 64 (beg.grond) 20121008.pdf</t>
        </is>
      </c>
      <c r="B35" s="14" t="inlineStr">
        <is>
          <t>14</t>
        </is>
      </c>
      <c r="C35" s="15" t="inlineStr">
        <is>
          <t>14</t>
        </is>
      </c>
      <c r="D35" s="14" t="n"/>
      <c r="E35" s="14" t="n"/>
      <c r="F35" s="14" t="n"/>
      <c r="G35" s="14" t="n"/>
      <c r="H35" s="14" t="n">
        <v>0.955435708203236</v>
      </c>
    </row>
    <row r="36">
      <c r="A36" s="14" t="inlineStr">
        <is>
          <t>MWO CBRE SPA (ITALY) CBRE_090724.pdf</t>
        </is>
      </c>
      <c r="B36" s="14" t="inlineStr">
        <is>
          <t>0</t>
        </is>
      </c>
      <c r="C36" s="15" t="inlineStr">
        <is>
          <t>0</t>
        </is>
      </c>
      <c r="D36" s="14" t="n"/>
      <c r="E36" s="14" t="n"/>
      <c r="F36" s="14" t="n"/>
      <c r="G36" s="14" t="n"/>
      <c r="H36" s="14" t="n">
        <v>0.955435708203236</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1 januari 2019</t>
        </is>
      </c>
      <c r="C2" s="15" t="inlineStr">
        <is>
          <t>1 januari 2019</t>
        </is>
      </c>
      <c r="D2" s="14" t="n"/>
      <c r="E2" s="14" t="n"/>
      <c r="F2" s="14" t="n"/>
      <c r="G2" s="14" t="n"/>
      <c r="H2" s="14" t="n">
        <v>0.9458272327964862</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01/01/2025</t>
        </is>
      </c>
      <c r="C3" s="15" t="inlineStr">
        <is>
          <t>01/01/2025</t>
        </is>
      </c>
      <c r="D3" s="14" t="n"/>
      <c r="E3" s="14" t="n"/>
      <c r="F3" s="14" t="n"/>
      <c r="G3" s="14" t="n"/>
      <c r="H3" s="14" t="n">
        <v>0.9657079646017699</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01/07/2026</t>
        </is>
      </c>
      <c r="C4" s="15" t="inlineStr">
        <is>
          <t>01/07/2026</t>
        </is>
      </c>
      <c r="D4" s="14" t="n"/>
      <c r="E4" s="14" t="n"/>
      <c r="F4" s="14" t="n"/>
      <c r="G4" s="14" t="n"/>
      <c r="H4" s="14" t="n">
        <v>0.9243243243243242</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17/02/2025</t>
        </is>
      </c>
      <c r="C5" s="15" t="inlineStr">
        <is>
          <t>17/02/2025</t>
        </is>
      </c>
      <c r="D5" s="14" t="n"/>
      <c r="E5" s="14" t="n"/>
      <c r="F5" s="14" t="n"/>
      <c r="G5" s="14" t="n"/>
      <c r="H5" s="14" t="n">
        <v>0.8470588235294118</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01/05/2025</t>
        </is>
      </c>
      <c r="C6" s="15" t="inlineStr">
        <is>
          <t>01/05/2025</t>
        </is>
      </c>
      <c r="D6" s="14" t="n"/>
      <c r="E6" s="14" t="n"/>
      <c r="F6" s="14" t="n"/>
      <c r="G6" s="14" t="n"/>
      <c r="H6" s="14" t="n">
        <v>0.7875</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25/02/2026</t>
        </is>
      </c>
      <c r="C7" s="15" t="inlineStr">
        <is>
          <t>25/02/2026</t>
        </is>
      </c>
      <c r="D7" s="14" t="n"/>
      <c r="E7" s="14" t="n"/>
      <c r="F7" s="14" t="n"/>
      <c r="G7" s="14" t="n"/>
      <c r="H7" s="14" t="n">
        <v>0.9473684210526316</v>
      </c>
      <c r="K7" s="17" t="inlineStr">
        <is>
          <t>Total Docs Tested</t>
        </is>
      </c>
      <c r="L7" s="19">
        <f>COUNTA(A2:A36)</f>
        <v/>
      </c>
      <c r="N7" s="17" t="inlineStr">
        <is>
          <t>Total Docs Tested</t>
        </is>
      </c>
      <c r="O7" s="19">
        <f>COUNTA(A2:A36)</f>
        <v/>
      </c>
    </row>
    <row r="8">
      <c r="A8" s="14" t="inlineStr">
        <is>
          <t>20260629 HOK ADHDcentraal BV (1).pdf</t>
        </is>
      </c>
      <c r="B8" s="14" t="inlineStr">
        <is>
          <t>01/09/2026</t>
        </is>
      </c>
      <c r="C8" s="15" t="inlineStr">
        <is>
          <t>01/09/2026</t>
        </is>
      </c>
      <c r="D8" s="14" t="n"/>
      <c r="E8" s="14" t="n"/>
      <c r="F8" s="14" t="n"/>
      <c r="G8" s="14" t="n"/>
      <c r="H8" s="14" t="n">
        <v>0.9243243243243242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1 January 2027</t>
        </is>
      </c>
      <c r="C9" s="15" t="inlineStr">
        <is>
          <t>1 January 2027</t>
        </is>
      </c>
      <c r="D9" s="14" t="n"/>
      <c r="E9" s="14" t="n"/>
      <c r="F9" s="14" t="n"/>
      <c r="G9" s="14" t="n"/>
      <c r="H9" s="14" t="n">
        <v>0.8742857142857143</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01/10/2026</t>
        </is>
      </c>
      <c r="C10" s="15" t="inlineStr">
        <is>
          <t>01/10/2026</t>
        </is>
      </c>
      <c r="D10" s="14" t="n"/>
      <c r="E10" s="14" t="n"/>
      <c r="F10" s="14" t="n"/>
      <c r="G10" s="14" t="n"/>
      <c r="H10" s="14" t="n">
        <v>0.9681668496158069</v>
      </c>
      <c r="K10" s="20" t="inlineStr">
        <is>
          <t>Highlighted rows = file(s) not in the annotation sheet; excluded from all metrics above.</t>
        </is>
      </c>
    </row>
    <row r="11">
      <c r="A11" s="14" t="inlineStr">
        <is>
          <t>20270801 - Getekende Allonge II Advario BV.pdf</t>
        </is>
      </c>
      <c r="B11" s="14" t="inlineStr">
        <is>
          <t>01/08/2022</t>
        </is>
      </c>
      <c r="C11" s="15" t="inlineStr">
        <is>
          <t>01/08/2022</t>
        </is>
      </c>
      <c r="D11" s="14" t="n"/>
      <c r="E11" s="14" t="n"/>
      <c r="F11" s="14" t="n"/>
      <c r="G11" s="14" t="n"/>
      <c r="H11" s="14" t="n">
        <v>0.4529801324503309</v>
      </c>
      <c r="K11" s="17" t="inlineStr">
        <is>
          <t>Validation Rules Example</t>
        </is>
      </c>
    </row>
    <row r="12">
      <c r="A12" s="14" t="inlineStr">
        <is>
          <t>240119 HOVK Spoorlaan 446-448 Tilburg signed.pdf</t>
        </is>
      </c>
      <c r="B12" s="14" t="inlineStr">
        <is>
          <t>1 april 2024</t>
        </is>
      </c>
      <c r="C12" s="15" t="inlineStr">
        <is>
          <t>1 april 2024</t>
        </is>
      </c>
      <c r="D12" s="14" t="n"/>
      <c r="E12" s="14" t="n"/>
      <c r="F12" s="14" t="n"/>
      <c r="G12" s="14" t="n"/>
      <c r="H12" s="14" t="n">
        <v>0.5608903020667726</v>
      </c>
      <c r="K12" s="16" t="inlineStr">
        <is>
          <t>Manual Data</t>
        </is>
      </c>
      <c r="L12" s="16" t="inlineStr">
        <is>
          <t>Response Data</t>
        </is>
      </c>
      <c r="M12" s="16" t="inlineStr">
        <is>
          <t>Result</t>
        </is>
      </c>
    </row>
    <row r="13">
      <c r="A13" s="14" t="inlineStr">
        <is>
          <t>27001 Rijksvastgoedbedrijf Huurovereenkomst - __27-01-2026_9-07-56.pdf</t>
        </is>
      </c>
      <c r="B13" s="14" t="inlineStr">
        <is>
          <t>01/09/2019</t>
        </is>
      </c>
      <c r="C13" s="15" t="inlineStr">
        <is>
          <t>01/09/2019</t>
        </is>
      </c>
      <c r="D13" s="14" t="n"/>
      <c r="E13" s="14" t="n"/>
      <c r="F13" s="14" t="n"/>
      <c r="G13" s="14" t="n"/>
      <c r="H13" s="14" t="n">
        <v>0.5600641539695268</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01/12/2026</t>
        </is>
      </c>
      <c r="C16" s="15" t="inlineStr">
        <is>
          <t>01/12/2026</t>
        </is>
      </c>
      <c r="D16" s="14" t="n"/>
      <c r="E16" s="14" t="n"/>
      <c r="F16" s="14" t="n"/>
      <c r="G16" s="14" t="n"/>
      <c r="H16" s="14" t="n">
        <v>0.5557046979865771</v>
      </c>
      <c r="K16" t="n">
        <v>100</v>
      </c>
      <c r="M16" t="inlineStr">
        <is>
          <t>FN</t>
        </is>
      </c>
    </row>
    <row r="17">
      <c r="A17" s="14" t="inlineStr">
        <is>
          <t>COMPL Huurovereenkomst - Stichting CCE - Kantoorgebouw Metzpoint I Dr. Holtroplaan - Fully Signed.pdf</t>
        </is>
      </c>
      <c r="B17" s="14" t="inlineStr">
        <is>
          <t>01/03/2025</t>
        </is>
      </c>
      <c r="C17" s="15" t="inlineStr">
        <is>
          <t>01/03/2025</t>
        </is>
      </c>
      <c r="D17" s="14" t="n"/>
      <c r="E17" s="14" t="n"/>
      <c r="F17" s="14" t="n"/>
      <c r="G17" s="14" t="n"/>
      <c r="H17" s="14" t="n">
        <v>0.5583673469387754</v>
      </c>
      <c r="M17" t="inlineStr">
        <is>
          <t>TN</t>
        </is>
      </c>
    </row>
    <row r="18">
      <c r="A18" s="14" t="inlineStr">
        <is>
          <t>COMPL Regel Partners - HOVK - Luchthavenweg 81 - 20260728.pdf</t>
        </is>
      </c>
      <c r="B18" s="14" t="inlineStr">
        <is>
          <t>01/10/2026</t>
        </is>
      </c>
      <c r="C18" s="15" t="inlineStr">
        <is>
          <t>01/10/2026</t>
        </is>
      </c>
      <c r="D18" s="14" t="n"/>
      <c r="E18" s="14" t="n"/>
      <c r="F18" s="14" t="n"/>
      <c r="G18" s="14" t="n"/>
      <c r="H18" s="14" t="n">
        <v>0.9681668496158069</v>
      </c>
    </row>
    <row r="19">
      <c r="A19" s="14" t="inlineStr">
        <is>
          <t>COMPL_-_Onderhuurovereenkomst_Zelfstroom_B.V._-_50five_B.V._-_kantoorgebouw_Riva_-_05032026.pdf</t>
        </is>
      </c>
      <c r="B19" s="14" t="inlineStr">
        <is>
          <t>01/04/2026</t>
        </is>
      </c>
      <c r="C19" s="15" t="inlineStr">
        <is>
          <t>01/04/2026</t>
        </is>
      </c>
      <c r="D19" s="14" t="n"/>
      <c r="E19" s="14" t="n"/>
      <c r="F19" s="14" t="n"/>
      <c r="G19" s="14" t="n"/>
      <c r="H19" s="14" t="n">
        <v>0.9705882352941176</v>
      </c>
      <c r="K19" s="17" t="inlineStr">
        <is>
          <t>Field:</t>
        </is>
      </c>
      <c r="L19" t="inlineStr">
        <is>
          <t>Terms / Occupancy_Date</t>
        </is>
      </c>
    </row>
    <row r="20">
      <c r="A20" s="14" t="inlineStr">
        <is>
          <t>Den Bosch, Ruwekampweg 4, HOVK getekend.pdf</t>
        </is>
      </c>
      <c r="B20" s="14" t="inlineStr">
        <is>
          <t>1 januari 2017</t>
        </is>
      </c>
      <c r="C20" s="15" t="inlineStr">
        <is>
          <t>1 januari 2017</t>
        </is>
      </c>
      <c r="D20" s="14" t="n"/>
      <c r="E20" s="14" t="n"/>
      <c r="F20" s="14" t="n"/>
      <c r="G20" s="14" t="n"/>
      <c r="H20" s="14" t="n">
        <v>0.5583673469387754</v>
      </c>
    </row>
    <row r="21">
      <c r="A21" s="14" t="inlineStr">
        <is>
          <t>FULLY SIGNED - COMPL Huurovereenkomst - Heijmans - Hugo de Grootlaan 23 's-Hertogenbosch V2 30-9-2025.pdf</t>
        </is>
      </c>
      <c r="B21" s="14" t="inlineStr">
        <is>
          <t>15/10/2025</t>
        </is>
      </c>
      <c r="C21" s="15" t="inlineStr">
        <is>
          <t>15/10/2025</t>
        </is>
      </c>
      <c r="D21" s="14" t="n"/>
      <c r="E21" s="14" t="n"/>
      <c r="F21" s="14" t="n"/>
      <c r="G21" s="14" t="n"/>
      <c r="H21" s="14" t="n">
        <v>0.5617021276595744</v>
      </c>
    </row>
    <row r="22">
      <c r="A22" s="14" t="inlineStr">
        <is>
          <t>FULLY SIGNED - DEF_COMPL_Huurovereenkomst_Robo_Charge_-_Campus_Offices_-_20260220.pdf</t>
        </is>
      </c>
      <c r="B22" s="14" t="inlineStr">
        <is>
          <t>01/04/2026</t>
        </is>
      </c>
      <c r="C22" s="15" t="inlineStr">
        <is>
          <t>01/04/2026</t>
        </is>
      </c>
      <c r="D22" s="14" t="n"/>
      <c r="E22" s="14" t="n"/>
      <c r="F22" s="14" t="n"/>
      <c r="G22" s="14" t="n"/>
      <c r="H22" s="14" t="n">
        <v>0.955435708203236</v>
      </c>
    </row>
    <row r="23">
      <c r="A23" s="14" t="inlineStr">
        <is>
          <t>FULLY SIGNED - Onderhuurovereenkomst Aartshertogenlaan 223, `s-Hertogenbosch - Koning Willem I College B.V. 2606202.pdf</t>
        </is>
      </c>
      <c r="B23" s="14" t="inlineStr">
        <is>
          <t>01/08/2025</t>
        </is>
      </c>
      <c r="C23" s="15" t="inlineStr">
        <is>
          <t>01/08/2025</t>
        </is>
      </c>
      <c r="D23" s="14" t="n"/>
      <c r="E23" s="14" t="n"/>
      <c r="F23" s="14" t="n"/>
      <c r="G23" s="14" t="n"/>
      <c r="H23" s="14" t="n">
        <v>0.5617021276595744</v>
      </c>
    </row>
    <row r="24">
      <c r="A24" s="14" t="inlineStr">
        <is>
          <t>FULLY SIGNED COMPL_DEF_Huurovereenkomst_Bond_Bergschot_Breda.pdf</t>
        </is>
      </c>
      <c r="B24" s="14" t="inlineStr">
        <is>
          <t>01/06/2025</t>
        </is>
      </c>
      <c r="C24" s="15" t="inlineStr">
        <is>
          <t>01/06/2025</t>
        </is>
      </c>
      <c r="D24" s="14" t="n"/>
      <c r="E24" s="14" t="n"/>
      <c r="F24" s="14" t="n"/>
      <c r="G24" s="14" t="n"/>
      <c r="H24" s="14" t="n">
        <v>0.9606741573033707</v>
      </c>
    </row>
    <row r="25">
      <c r="A25" s="14" t="inlineStr">
        <is>
          <t>FullySigned_Allonge_II_Virtual_Vaults_Nederland.pdf</t>
        </is>
      </c>
      <c r="B25" s="14" t="inlineStr">
        <is>
          <t>01/11/2018</t>
        </is>
      </c>
      <c r="C25" s="15" t="inlineStr">
        <is>
          <t>01/11/2018</t>
        </is>
      </c>
      <c r="D25" s="14" t="n"/>
      <c r="E25" s="14" t="n"/>
      <c r="F25" s="14" t="n"/>
      <c r="G25" s="14" t="n"/>
      <c r="H25" s="14" t="n">
        <v>0.9681668496158069</v>
      </c>
    </row>
    <row r="26">
      <c r="A26" s="14" t="inlineStr">
        <is>
          <t>FullySigned_Lease_Agreement_Neste_EDGE_Coolsingel.pdf</t>
        </is>
      </c>
      <c r="B26" s="14" t="inlineStr">
        <is>
          <t>01/08/2027</t>
        </is>
      </c>
      <c r="C26" s="15" t="inlineStr">
        <is>
          <t>01/08/2027</t>
        </is>
      </c>
      <c r="D26" s="14" t="n"/>
      <c r="E26" s="14" t="n"/>
      <c r="F26" s="14" t="n"/>
      <c r="G26" s="14" t="n"/>
      <c r="H26" s="14" t="n">
        <v>0.5608903020667726</v>
      </c>
    </row>
    <row r="27">
      <c r="A27" s="14" t="inlineStr">
        <is>
          <t>HOK Waalhaven Group (signed).pdf</t>
        </is>
      </c>
      <c r="B27" s="14" t="inlineStr">
        <is>
          <t>01/09/2026</t>
        </is>
      </c>
      <c r="C27" s="15" t="inlineStr">
        <is>
          <t>01/09/2026</t>
        </is>
      </c>
      <c r="D27" s="14" t="n"/>
      <c r="E27" s="14" t="n"/>
      <c r="F27" s="14" t="n"/>
      <c r="G27" s="14" t="n"/>
      <c r="H27" s="14" t="n">
        <v>0.9681668496158069</v>
      </c>
    </row>
    <row r="28">
      <c r="A28" s="14" t="inlineStr">
        <is>
          <t>Hovk Avans  (3e+4e+5e verd.) 20140425.pdf</t>
        </is>
      </c>
      <c r="B28" s="14" t="inlineStr">
        <is>
          <t>1 mei 2014</t>
        </is>
      </c>
      <c r="C28" s="15" t="inlineStr">
        <is>
          <t>1 mei 2014</t>
        </is>
      </c>
      <c r="D28" s="14" t="n"/>
      <c r="E28" s="14" t="n"/>
      <c r="F28" s="14" t="n"/>
      <c r="G28" s="14" t="n"/>
      <c r="H28" s="14" t="n">
        <v>0.6773800898420521</v>
      </c>
    </row>
    <row r="29">
      <c r="A29" s="14" t="inlineStr">
        <is>
          <t>HOVK Power4People 2025.pdf</t>
        </is>
      </c>
      <c r="B29" s="14" t="inlineStr">
        <is>
          <t>01/07/2025</t>
        </is>
      </c>
      <c r="C29" s="15" t="inlineStr">
        <is>
          <t>01/07/2025</t>
        </is>
      </c>
      <c r="D29" s="14" t="n"/>
      <c r="E29" s="14" t="n"/>
      <c r="F29" s="14" t="n"/>
      <c r="G29" s="14" t="n"/>
      <c r="H29" s="14" t="n">
        <v>0.9606741573033707</v>
      </c>
    </row>
    <row r="30">
      <c r="A30" s="14" t="inlineStr">
        <is>
          <t>Huurovereenkomst (Semmie Group B.V.) - Wilhelminasingel 19, Breda.pdf</t>
        </is>
      </c>
      <c r="B30" s="14" t="inlineStr">
        <is>
          <t>15/01/2026</t>
        </is>
      </c>
      <c r="C30" s="15" t="inlineStr">
        <is>
          <t>15/01/2026</t>
        </is>
      </c>
      <c r="D30" s="14" t="n"/>
      <c r="E30" s="14" t="n"/>
      <c r="F30" s="14" t="n"/>
      <c r="G30" s="14" t="n"/>
      <c r="H30" s="14" t="n">
        <v>0.9657079646017699</v>
      </c>
    </row>
    <row r="31">
      <c r="A31" s="14" t="inlineStr">
        <is>
          <t>Huurovereenkomst - proces-verbaal van oplevering - sleuteloverdracht - Kennedyplein 101 - getekend.pdf</t>
        </is>
      </c>
      <c r="B31" s="14" t="inlineStr">
        <is>
          <t>02/03/2026</t>
        </is>
      </c>
      <c r="C31" s="15" t="inlineStr">
        <is>
          <t>02/03/2026</t>
        </is>
      </c>
      <c r="D31" s="14" t="n"/>
      <c r="E31" s="14" t="n"/>
      <c r="F31" s="14" t="n"/>
      <c r="G31" s="14" t="n"/>
      <c r="H31" s="14" t="n">
        <v>0.9209302325581394</v>
      </c>
    </row>
    <row r="32">
      <c r="A32" s="14" t="inlineStr">
        <is>
          <t>Huurovereenkomst Bijster 5 te Breda getekend.pdf</t>
        </is>
      </c>
      <c r="B32" s="14" t="inlineStr">
        <is>
          <t>01/01/2026</t>
        </is>
      </c>
      <c r="C32" s="15" t="inlineStr">
        <is>
          <t>01/01/2026</t>
        </is>
      </c>
      <c r="D32" s="14" t="n"/>
      <c r="E32" s="14" t="n"/>
      <c r="F32" s="14" t="n"/>
      <c r="G32" s="14" t="n"/>
      <c r="H32" s="14" t="n">
        <v>0.9243243243243242</v>
      </c>
    </row>
    <row r="33">
      <c r="A33" s="14" t="inlineStr">
        <is>
          <t>Huurovereenkomst Catena Pand Son - Skymark (Son en Breugel - NLD).pdf</t>
        </is>
      </c>
      <c r="B33" s="14" t="inlineStr">
        <is>
          <t>01/05/2014</t>
        </is>
      </c>
      <c r="C33" s="15" t="inlineStr">
        <is>
          <t>01/05/2014</t>
        </is>
      </c>
      <c r="D33" s="14" t="n"/>
      <c r="E33" s="14" t="n"/>
      <c r="F33" s="14" t="n"/>
      <c r="G33" s="14" t="n"/>
      <c r="H33" s="14" t="n">
        <v>0.6453624318004677</v>
      </c>
    </row>
    <row r="34">
      <c r="A34" s="14" t="inlineStr">
        <is>
          <t>Huurovereenkomst KPN Opstelpunt Parallelweg 64 20130313.pdf</t>
        </is>
      </c>
      <c r="B34" s="14" t="inlineStr">
        <is>
          <t>01/11/2015</t>
        </is>
      </c>
      <c r="C34" s="15" t="inlineStr">
        <is>
          <t>01/11/2015</t>
        </is>
      </c>
      <c r="D34" s="14" t="n"/>
      <c r="E34" s="14" t="n"/>
      <c r="F34" s="14" t="n"/>
      <c r="G34" s="14" t="n"/>
      <c r="H34" s="14" t="n">
        <v>0.9243243243243242</v>
      </c>
    </row>
    <row r="35">
      <c r="A35" s="14" t="inlineStr">
        <is>
          <t>Huurovereenkomst PBG Parallelweg 64 (beg.grond) 20121008.pdf</t>
        </is>
      </c>
      <c r="B35" s="14" t="inlineStr">
        <is>
          <t>1 oktober 2012</t>
        </is>
      </c>
      <c r="C35" s="15" t="inlineStr">
        <is>
          <t>1 oktober 2012</t>
        </is>
      </c>
      <c r="D35" s="14" t="n"/>
      <c r="E35" s="14" t="n"/>
      <c r="F35" s="14" t="n"/>
      <c r="G35" s="14" t="n"/>
      <c r="H35" s="14" t="n">
        <v>0.5608903020667726</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ht="43.2" customHeight="1">
      <c r="A2" s="14" t="inlineStr">
        <is>
          <t>20181204 Huurovereenkomst (GETEKEND).PDF</t>
        </is>
      </c>
      <c r="B2" s="14" t="inlineStr">
        <is>
          <t>De huurovereenkomst wordt na de initiëlelooptijd van 15 jaar stilzwijgend verlengd met periodes van telkens 5 jaar onder dezelfde voorwaarden.</t>
        </is>
      </c>
      <c r="C2" s="15" t="inlineStr">
        <is>
          <t>De huurovereenkomst wordt na de initiëlelooptijd van 15 jaar stilzwijgend verlengd met periodes van telkens 5 jaar onder dezelfde voorwaarden.</t>
        </is>
      </c>
      <c r="D2" s="14" t="n"/>
      <c r="E2" s="14" t="n"/>
      <c r="F2" s="14" t="n"/>
      <c r="G2" s="14" t="n"/>
      <c r="H2" s="14" t="n">
        <v>0.9103825136612022</v>
      </c>
      <c r="K2" s="16" t="inlineStr">
        <is>
          <t>Metrics</t>
        </is>
      </c>
      <c r="L2" s="16" t="inlineStr">
        <is>
          <t>Percentage</t>
        </is>
      </c>
      <c r="N2" s="16" t="inlineStr">
        <is>
          <t>Metrics</t>
        </is>
      </c>
      <c r="O2" s="16" t="inlineStr">
        <is>
          <t>Percentage</t>
        </is>
      </c>
    </row>
    <row r="3" ht="43.2" customHeight="1">
      <c r="A3" s="14" t="inlineStr">
        <is>
          <t>2024.10.30_Office Rental Agreement Labs_Gruyter Fabriek.pdf</t>
        </is>
      </c>
      <c r="B3" s="14" t="inlineStr">
        <is>
          <t>Na afloop van de eerste huurperiode wordt de huurovereenkomst telkens voortgezet voor een aansluitende periode van 60 maanden. Opzegging met 12 maanden schriftelijke termijn.</t>
        </is>
      </c>
      <c r="C3" s="15" t="inlineStr">
        <is>
          <t>Na afloop van de eerste huurperiode wordt de huurovereenkomst telkens voortgezet voor een aansluitende periode van 60 maanden. Opzegging met 12 maanden schriftelijke termijn.</t>
        </is>
      </c>
      <c r="D3" s="14" t="n"/>
      <c r="E3" s="14" t="n"/>
      <c r="F3" s="14" t="n"/>
      <c r="G3" s="14" t="n"/>
      <c r="H3" s="14" t="n">
        <v>0.5439999999999998</v>
      </c>
      <c r="K3" s="17" t="inlineStr">
        <is>
          <t>Precision</t>
        </is>
      </c>
      <c r="L3" s="18">
        <f>IFERROR(COUNTIFS(D2:D36,"TP")/(COUNTIFS(D2:D36,"TP")+COUNTIFS(D2:D36,"FP")),0)</f>
        <v/>
      </c>
      <c r="N3" s="17" t="inlineStr">
        <is>
          <t>Precision</t>
        </is>
      </c>
      <c r="O3" s="18">
        <f>IFERROR(COUNTIFS(G2:G36,"TP")/(COUNTIFS(G2:G36,"TP")+COUNTIFS(G2:G36,"FP")),0)</f>
        <v/>
      </c>
    </row>
    <row r="4" ht="72" customHeight="1">
      <c r="A4" s="14" t="inlineStr">
        <is>
          <t>20240606_HOK AKD - EDGE Eindhoven execution version.pdf</t>
        </is>
      </c>
      <c r="B4" s="14" t="inlineStr">
        <is>
          <t>Huurder heeft gedurende eerste huurtermijn optie tot uitbreiding met 8e verdieping; aanbiedingsplicht met recht van eerste weigering bij externe interesse. Huurder kan na oplevering bij leegstand eenmalig optie uitoefenen op zelfde ruimte (min. 3 jaar huur), beide opties tegen markthuurprijs.</t>
        </is>
      </c>
      <c r="C4" s="15" t="inlineStr">
        <is>
          <t>Huurder heeft gedurende eerste huurtermijn optie tot uitbreiding met 8e verdieping; aanbiedingsplicht met recht van eerste weigering bij externe interesse. Huurder kan na oplevering bij leegstand eenmalig optie uitoefenen op zelfde ruimte (min. 3 jaar huur), beide opties tegen markthuurprijs.</t>
        </is>
      </c>
      <c r="D4" s="14" t="n"/>
      <c r="E4" s="14" t="n"/>
      <c r="F4" s="14" t="n"/>
      <c r="G4" s="14" t="n"/>
      <c r="H4" s="14" t="n">
        <v>0.5662016903257572</v>
      </c>
      <c r="K4" s="17" t="inlineStr">
        <is>
          <t>Recall</t>
        </is>
      </c>
      <c r="L4" s="18">
        <f>IFERROR(COUNTIFS(D2:D36,"TP")/(COUNTIFS(D2:D36,"TP")+COUNTIFS(D2:D36,"FN")),0)</f>
        <v/>
      </c>
      <c r="N4" s="17" t="inlineStr">
        <is>
          <t>Recall</t>
        </is>
      </c>
      <c r="O4" s="18">
        <f>IFERROR(COUNTIFS(G2:G36,"TP")/(COUNTIFS(G2:G36,"TP")+COUNTIFS(G2:G36,"FN")),0)</f>
        <v/>
      </c>
    </row>
    <row r="5" ht="43.2" customHeight="1">
      <c r="A5" s="14" t="inlineStr">
        <is>
          <t>20250117_HOK Duke Strategies - Hambaken A.05.09 DEF FULLY SIGNED.pdf</t>
        </is>
      </c>
      <c r="B5" s="14" t="inlineStr">
        <is>
          <t>Verhuurder mag huurder (tijdelijk) verplaatsen naar een andere ruimte binnen het gebouw zonder prijsconsequenties, mits vergelijkbare of grotere ruimte.</t>
        </is>
      </c>
      <c r="C5" s="15" t="inlineStr">
        <is>
          <t>Verhuurder mag huurder (tijdelijk) verplaatsen naar een andere ruimte binnen het gebouw zonder prijsconsequenties, mits vergelijkbare of grotere ruimte.</t>
        </is>
      </c>
      <c r="D5" s="14" t="n"/>
      <c r="E5" s="14" t="n"/>
      <c r="F5" s="14" t="n"/>
      <c r="G5" s="14" t="n"/>
      <c r="H5" s="14" t="n">
        <v>0.8882022471910112</v>
      </c>
      <c r="K5" s="17" t="inlineStr">
        <is>
          <t>F1 Score</t>
        </is>
      </c>
      <c r="L5" s="18">
        <f>IFERROR(2*COUNTIFS(D2:D36,"TP")/(2*COUNTIFS(D2:D36,"TP")+COUNTIFS(D2:D36,"FP")+COUNTIFS(D2:D36,"FN")),0)</f>
        <v/>
      </c>
      <c r="N5" s="17" t="inlineStr">
        <is>
          <t>F1 Score</t>
        </is>
      </c>
      <c r="O5" s="18">
        <f>IFERROR(2*COUNTIFS(G2:G36,"TP")/(2*COUNTIFS(G2:G36,"TP")+COUNTIFS(G2:G36,"FP")+COUNTIFS(G2:G36,"FN")),0)</f>
        <v/>
      </c>
    </row>
    <row r="6" ht="43.2" customHeight="1">
      <c r="A6" s="14" t="inlineStr">
        <is>
          <t>20251216 Lease agreement ASPEN - signed.pdf</t>
        </is>
      </c>
      <c r="B6" s="14" t="inlineStr">
        <is>
          <t>After initial period of 12 years 10 months, lease renews for 5-year periods unless terminated with 18 months' notice before period end. Tenant also has rolling break option for first floor after 5 years.</t>
        </is>
      </c>
      <c r="C6" s="15" t="inlineStr">
        <is>
          <t>After initial period of 12 years 10 months, lease renews for 5-year periods unless terminated with 18 months' notice before period end. Tenant also has rolling break option for first floor after 5 years.</t>
        </is>
      </c>
      <c r="D6" s="14" t="n"/>
      <c r="E6" s="14" t="n"/>
      <c r="F6" s="14" t="n"/>
      <c r="G6" s="14" t="n"/>
      <c r="H6" s="14" t="n">
        <v>0.6454862456412243</v>
      </c>
      <c r="K6" s="17" t="inlineStr">
        <is>
          <t>Accuracy % (With Not Exist)</t>
        </is>
      </c>
      <c r="L6" s="18">
        <f>IFERROR((COUNTIF(D2:D36,"TP")+COUNTIF(D2:D36,"TN"))/SUM(COUNTIF(D2:D36,{"TP","TN","FP","FN"})),0)</f>
        <v/>
      </c>
      <c r="N6" s="17" t="inlineStr">
        <is>
          <t>Accuracy % (With Not Exist)</t>
        </is>
      </c>
      <c r="O6" s="18">
        <f>IFERROR((COUNTIF(G2:G36,"TP")+COUNTIF(G2:G36,"TN"))/SUM(COUNTIF(G2:G36,{"TP","TN","FP","FN"})),0)</f>
        <v/>
      </c>
    </row>
    <row r="7" ht="43.2" customHeight="1">
      <c r="A7" s="14" t="inlineStr">
        <is>
          <t>20260220 Huurovereenkomst signed 20-02-2026.pdf</t>
        </is>
      </c>
      <c r="B7" s="14" t="inlineStr">
        <is>
          <t>Lease auto-extends for 1-year periods after initial 3-year term unless terminated; Tenant has a one-time break option after 2 years with 6-month notice and penalty of 2 months rent.</t>
        </is>
      </c>
      <c r="C7" s="15" t="inlineStr">
        <is>
          <t>Lease auto-extends for 1-year periods after initial 3-year term unless terminated; Tenant has a one-time break option after 2 years with 6-month notice and penalty of 2 months rent.</t>
        </is>
      </c>
      <c r="D7" s="14" t="n"/>
      <c r="E7" s="14" t="n"/>
      <c r="F7" s="14" t="n"/>
      <c r="G7" s="14" t="n"/>
      <c r="H7" s="14" t="n">
        <v>0.715984994719015</v>
      </c>
      <c r="K7" s="17" t="inlineStr">
        <is>
          <t>Total Docs Tested</t>
        </is>
      </c>
      <c r="L7" s="19">
        <f>COUNTA(A2:A36)</f>
        <v/>
      </c>
      <c r="N7" s="17" t="inlineStr">
        <is>
          <t>Total Docs Tested</t>
        </is>
      </c>
      <c r="O7" s="19">
        <f>COUNTA(A2:A36)</f>
        <v/>
      </c>
    </row>
    <row r="8" ht="28.8" customHeight="1">
      <c r="A8" s="14" t="inlineStr">
        <is>
          <t>20260629 HOK ADHDcentraal BV (1).pdf</t>
        </is>
      </c>
      <c r="B8" s="14" t="inlineStr">
        <is>
          <t>No explicit renewal, extension, expansion, or option rights for the tenant found in the provided context.</t>
        </is>
      </c>
      <c r="C8" s="15" t="inlineStr">
        <is>
          <t>No explicit renewal, extension, expansion, or option rights for the tenant found in the provided context.</t>
        </is>
      </c>
      <c r="D8" s="14" t="n"/>
      <c r="E8" s="14" t="n"/>
      <c r="F8" s="14" t="n"/>
      <c r="G8" s="14" t="n"/>
      <c r="H8" s="14" t="n">
        <v>0.85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ht="43.2" customHeight="1">
      <c r="A9" s="14" t="inlineStr">
        <is>
          <t>20260807_Happy_Village_B.V._Lease_Maasstadweg_tekenversie_incl._bijlagen en-GB.pdf</t>
        </is>
      </c>
      <c r="B9" s="14" t="inlineStr">
        <is>
          <t>Lease auto-renews for 5-year periods unless tenant or landlord gives at least 12 months' notice before end of term. Tenant may break early as of 1 Jan 2034 with 12 months' notice and a fee.</t>
        </is>
      </c>
      <c r="C9" s="15" t="inlineStr">
        <is>
          <t>Lease auto-renews for 5-year periods unless tenant or landlord gives at least 12 months' notice before end of term. Tenant may break early as of 1 Jan 2034 with 12 months' notice and a fee.</t>
        </is>
      </c>
      <c r="D9" s="14" t="n"/>
      <c r="E9" s="14" t="n"/>
      <c r="F9" s="14" t="n">
        <v>2</v>
      </c>
      <c r="G9" s="14" t="n"/>
      <c r="H9" s="14" t="n">
        <v>0.6526385224274405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n"/>
      <c r="D10" s="14" t="n"/>
      <c r="E10" s="14" t="n"/>
      <c r="F10" s="14" t="n"/>
      <c r="G10" s="14" t="n"/>
      <c r="H10" s="14" t="n"/>
      <c r="K10" s="20" t="inlineStr">
        <is>
          <t>Highlighted rows = file(s) not in the annotation sheet; excluded from all metrics above.</t>
        </is>
      </c>
    </row>
    <row r="11" ht="43.2" customHeight="1">
      <c r="A11" s="14" t="inlineStr">
        <is>
          <t>20270801 - Getekende Allonge II Advario BV.pdf</t>
        </is>
      </c>
      <c r="B11" s="14" t="inlineStr">
        <is>
          <t>Lease extends 5 years to 31-07-2032, then auto-extends another 5 years unless terminated with 12 months' notice; tenant has break/expansion/first right on adjacent space.</t>
        </is>
      </c>
      <c r="C11" s="15" t="inlineStr">
        <is>
          <t>Lease extends 5 years to 31-07-2032, then auto-extends another 5 years unless terminated with 12 months' notice; tenant has break/expansion/first right on adjacent space.</t>
        </is>
      </c>
      <c r="D11" s="14" t="n"/>
      <c r="E11" s="14" t="n"/>
      <c r="F11" s="14" t="n"/>
      <c r="G11" s="14" t="n"/>
      <c r="H11" s="14" t="n">
        <v>0.6548638132295719</v>
      </c>
      <c r="K11" s="17" t="inlineStr">
        <is>
          <t>Validation Rules Example</t>
        </is>
      </c>
    </row>
    <row r="12" ht="43.2" customHeight="1">
      <c r="A12" s="14" t="inlineStr">
        <is>
          <t>240119 HOVK Spoorlaan 446-448 Tilburg signed.pdf</t>
        </is>
      </c>
      <c r="B12" s="14" t="inlineStr">
        <is>
          <t>Na 3 jaar verlengt de huurovereenkomst voor onbepaalde tijd. Huurder kan tot 31-12-2024 kiezen voor een 10-jaarstermijn met aangepaste voorwaarden en huurprijs, dan geldt opzegging met 12 maanden.</t>
        </is>
      </c>
      <c r="C12" s="15" t="inlineStr">
        <is>
          <t>Na 3 jaar verlengt de huurovereenkomst voor onbepaalde tijd. Huurder kan tot 31-12-2024 kiezen voor een 10-jaarstermijn met aangepaste voorwaarden en huurprijs, dan geldt opzegging met 12 maanden.</t>
        </is>
      </c>
      <c r="D12" s="14" t="n"/>
      <c r="E12" s="14" t="n"/>
      <c r="F12" s="14" t="n"/>
      <c r="G12" s="14" t="n"/>
      <c r="H12" s="14" t="n">
        <v>0.5460688322057403</v>
      </c>
      <c r="K12" s="16" t="inlineStr">
        <is>
          <t>Manual Data</t>
        </is>
      </c>
      <c r="L12" s="16" t="inlineStr">
        <is>
          <t>Response Data</t>
        </is>
      </c>
      <c r="M12" s="16" t="inlineStr">
        <is>
          <t>Result</t>
        </is>
      </c>
    </row>
    <row r="13" ht="57.6" customHeight="1">
      <c r="A13" s="14" t="inlineStr">
        <is>
          <t>27001 Rijksvastgoedbedrijf Huurovereenkomst - __27-01-2026_9-07-56.pdf</t>
        </is>
      </c>
      <c r="B13" s="14" t="inlineStr">
        <is>
          <t>Huurder mag de uit deze huurovereenkomst voortvloeiende rechtsverhouding geheel of gedeeltelijk aan een derde overdragen en/of onderverhuren, met toestemming verhuurder niet op onredelijke gronden te onthouden.</t>
        </is>
      </c>
      <c r="C13" s="15" t="inlineStr">
        <is>
          <t>Huurder mag de uit deze huurovereenkomst voortvloeiende rechtsverhouding geheel of gedeeltelijk aan een derde overdragen en/of onderverhuren, met toestemming verhuurder niet op onredelijke gronden te onthouden.</t>
        </is>
      </c>
      <c r="D13" s="14" t="n"/>
      <c r="E13" s="14" t="n"/>
      <c r="F13" s="14" t="n"/>
      <c r="G13" s="14" t="n"/>
      <c r="H13" s="14" t="n">
        <v>0.5557964970809006</v>
      </c>
      <c r="K13" t="n">
        <v>100</v>
      </c>
      <c r="L13" t="n">
        <v>100</v>
      </c>
      <c r="M13" t="inlineStr">
        <is>
          <t>TP</t>
        </is>
      </c>
    </row>
    <row r="14" ht="28.8" customHeight="1">
      <c r="A14" s="14" t="inlineStr">
        <is>
          <t>CBRE_AT_Services_ENG_-_RITUALS_CBRE signed.pdf</t>
        </is>
      </c>
      <c r="B14" s="14" t="inlineStr">
        <is>
          <t>Agreement renews automatically for 3 months unless Rituals terminates by certified mail (PEC) 1 month prior to contract end.</t>
        </is>
      </c>
      <c r="C14" s="15" t="inlineStr">
        <is>
          <t>Agreement renews automatically for 3 months unless Rituals terminates by certified mail (PEC) 1 month prior to contract end.</t>
        </is>
      </c>
      <c r="D14" s="14" t="n"/>
      <c r="E14" s="14" t="n"/>
      <c r="F14" s="14" t="n"/>
      <c r="G14" s="14" t="n"/>
      <c r="H14" s="14" t="n">
        <v>0.5460688322057403</v>
      </c>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ht="28.8" customHeight="1">
      <c r="A16" s="14" t="inlineStr">
        <is>
          <t>COMPL DEF Huurovereenkomst - Skybox - Pepperl+Fuchs - 20260204.pdf</t>
        </is>
      </c>
      <c r="B16" s="14" t="inlineStr">
        <is>
          <t>After the initial 5-year term, the lease is automatically extended for periods of 3 years each, unless terminated with 12 months' notice.</t>
        </is>
      </c>
      <c r="C16" s="15" t="inlineStr">
        <is>
          <t>After the initial 5-year term, the lease is automatically extended for periods of 3 years each, unless terminated with 12 months' notice.</t>
        </is>
      </c>
      <c r="D16" s="14" t="n"/>
      <c r="E16" s="14" t="n"/>
      <c r="F16" s="14" t="n"/>
      <c r="G16" s="14" t="n"/>
      <c r="H16" s="14" t="n">
        <v>0.671123316529983</v>
      </c>
      <c r="K16" t="n">
        <v>100</v>
      </c>
      <c r="M16" t="inlineStr">
        <is>
          <t>FN</t>
        </is>
      </c>
    </row>
    <row r="17" ht="43.2" customHeight="1">
      <c r="A17" s="14" t="inlineStr">
        <is>
          <t>COMPL Huurovereenkomst - Stichting CCE - Kantoorgebouw Metzpoint I Dr. Holtroplaan - Fully Signed.pdf</t>
        </is>
      </c>
      <c r="B17" s="14" t="inlineStr">
        <is>
          <t>Na het verstrijken van de 10 jaar looptijd wordt de huurovereenkomst telkens automatisch verlengd met periodes van 5 jaar, tenzij partijen met 12 maanden opzegtermijn opzeggen.</t>
        </is>
      </c>
      <c r="C17" s="15" t="inlineStr">
        <is>
          <t>Na het verstrijken van de 10 jaar looptijd wordt de huurovereenkomst telkens automatisch verlengd met periodes van 5 jaar, tenzij partijen met 12 maanden opzegtermijn opzeggen.</t>
        </is>
      </c>
      <c r="D17" s="14" t="n"/>
      <c r="E17" s="14" t="n"/>
      <c r="F17" s="14" t="n"/>
      <c r="G17" s="14" t="n"/>
      <c r="H17" s="14" t="n">
        <v>0.715984994719015</v>
      </c>
      <c r="M17" t="inlineStr">
        <is>
          <t>TN</t>
        </is>
      </c>
    </row>
    <row r="18" ht="43.2" customHeight="1">
      <c r="A18" s="14" t="inlineStr">
        <is>
          <t>COMPL Regel Partners - HOVK - Luchthavenweg 81 - 20260728.pdf</t>
        </is>
      </c>
      <c r="B18" s="14" t="inlineStr">
        <is>
          <t>After the 5-year term, the lease is extended for another 5 years unless terminated. After the second 5-year term, it automatically extends for further 5-year periods unless terminated with 12 months' notice.</t>
        </is>
      </c>
      <c r="C18" s="15" t="inlineStr">
        <is>
          <t>After the 5-year term, the lease is extended for another 5 years unless terminated. After the second 5-year term, it automatically extends for further 5-year periods unless terminated with 12 months' notice.</t>
        </is>
      </c>
      <c r="D18" s="14" t="n"/>
      <c r="E18" s="14" t="n"/>
      <c r="F18" s="14" t="n"/>
      <c r="G18" s="14" t="n"/>
      <c r="H18" s="14" t="n">
        <v>0.6857249766136575</v>
      </c>
    </row>
    <row r="19" ht="43.2" customHeight="1">
      <c r="A19" s="14" t="inlineStr">
        <is>
          <t>COMPL_-_Onderhuurovereenkomst_Zelfstroom_B.V._-_50five_B.V._-_kantoorgebouw_Riva_-_05032026.pdf</t>
        </is>
      </c>
      <c r="B19" s="14" t="inlineStr">
        <is>
          <t>Geen verlengings- of optievoorwaarden; de huurovereenkomst eindigt van rechtswege per 1 juni 2026 zonder verlenging of optie tot verlenging.</t>
        </is>
      </c>
      <c r="C19" s="15" t="inlineStr">
        <is>
          <t>Geen verlengings- of optievoorwaarden; de huurovereenkomst eindigt van rechtswege per 1 juni 2026 zonder verlenging of optie tot verlenging.</t>
        </is>
      </c>
      <c r="D19" s="14" t="n"/>
      <c r="E19" s="14" t="n"/>
      <c r="F19" s="14" t="n"/>
      <c r="G19" s="14" t="n"/>
      <c r="H19" s="14" t="n">
        <v>0.9146739130434783</v>
      </c>
      <c r="K19" s="17" t="inlineStr">
        <is>
          <t>Field:</t>
        </is>
      </c>
      <c r="L19" t="inlineStr">
        <is>
          <t>Terms / Option_Notes</t>
        </is>
      </c>
    </row>
    <row r="20" ht="43.2" customHeight="1">
      <c r="A20" s="14" t="inlineStr">
        <is>
          <t>Den Bosch, Ruwekampweg 4, HOVK getekend.pdf</t>
        </is>
      </c>
      <c r="B20" s="14" t="inlineStr">
        <is>
          <t>Tenant has the right to break the lease after the fifth year (December 31, 2021) with a fee of €75,000, and after the seventh year (December 31, 2023) with a fee of €55,000.</t>
        </is>
      </c>
      <c r="C20" s="15" t="inlineStr">
        <is>
          <t>Tenant has the right to break the lease after the fifth year (December 31, 2021) with a fee of €75,000, and after the seventh year (December 31, 2023) with a fee of €55,000.</t>
        </is>
      </c>
      <c r="D20" s="14" t="n"/>
      <c r="E20" s="14" t="n"/>
      <c r="F20" s="14" t="n"/>
      <c r="G20" s="14" t="n"/>
      <c r="H20" s="14" t="n">
        <v>0.5382973893303066</v>
      </c>
    </row>
    <row r="21" ht="43.2" customHeight="1">
      <c r="A21" s="14" t="inlineStr">
        <is>
          <t>FULLY SIGNED - COMPL Huurovereenkomst - Heijmans - Hugo de Grootlaan 23 's-Hertogenbosch V2 30-9-2025.pdf</t>
        </is>
      </c>
      <c r="B21" s="14" t="inlineStr">
        <is>
          <t>Na het eerste jaar wordt de huurovereenkomst telkens automatisch verlengd met 3 maanden, tenzij opgezegd volgens de genoemde termijnen.</t>
        </is>
      </c>
      <c r="C21" s="15" t="inlineStr">
        <is>
          <t>Na het eerste jaar wordt de huurovereenkomst telkens automatisch verlengd met 3 maanden, tenzij opgezegd volgens de genoemde termijnen.</t>
        </is>
      </c>
      <c r="D21" s="14" t="n"/>
      <c r="E21" s="14" t="n"/>
      <c r="F21" s="14" t="n"/>
      <c r="G21" s="14" t="n"/>
      <c r="H21" s="14" t="n">
        <v>0.9103825136612022</v>
      </c>
    </row>
    <row r="22" ht="43.2" customHeight="1">
      <c r="A22" s="14" t="inlineStr">
        <is>
          <t>FULLY SIGNED - DEF_COMPL_Huurovereenkomst_Robo_Charge_-_Campus_Offices_-_20260220.pdf</t>
        </is>
      </c>
      <c r="B22" s="14" t="inlineStr">
        <is>
          <t>Lease automatically extends with 5-year renewal periods; both parties may terminate with 12 months' notice. Tenant has perpetual first refusal right to rent 2 extra storage rooms (second floor, wing C).</t>
        </is>
      </c>
      <c r="C22" s="15" t="inlineStr">
        <is>
          <t>Lease automatically extends with 5-year renewal periods; both parties may terminate with 12 months' notice. Tenant has perpetual first refusal right to rent 2 extra storage rooms (second floor, wing C).</t>
        </is>
      </c>
      <c r="D22" s="14" t="n"/>
      <c r="E22" s="14" t="n"/>
      <c r="F22" s="14" t="n"/>
      <c r="G22" s="14" t="n"/>
      <c r="H22" s="14" t="n">
        <v>0.6934443288241415</v>
      </c>
    </row>
    <row r="23" ht="28.8" customHeight="1">
      <c r="A23" s="14" t="inlineStr">
        <is>
          <t>FULLY SIGNED - Onderhuurovereenkomst Aartshertogenlaan 223, `s-Hertogenbosch - Koning Willem I College B.V. 2606202.pdf</t>
        </is>
      </c>
      <c r="B23" s="14" t="inlineStr">
        <is>
          <t>De onderhuurovereenkomst eindigt van rechtswege op 31 juli 2029; er zijn geen verlengings- of optie-rechten opgenomen.</t>
        </is>
      </c>
      <c r="C23" s="15" t="inlineStr">
        <is>
          <t>De onderhuurovereenkomst eindigt van rechtswege op 31 juli 2029; er zijn geen verlengings- of optie-rechten opgenomen.</t>
        </is>
      </c>
      <c r="D23" s="14" t="n"/>
      <c r="E23" s="14" t="n"/>
      <c r="F23" s="14" t="n"/>
      <c r="G23" s="14" t="n"/>
      <c r="H23" s="14" t="n">
        <v>0.9146739130434783</v>
      </c>
    </row>
    <row r="24" ht="43.2" customHeight="1">
      <c r="A24" s="14" t="inlineStr">
        <is>
          <t>FULLY SIGNED COMPL_DEF_Huurovereenkomst_Bond_Bergschot_Breda.pdf</t>
        </is>
      </c>
      <c r="B24" s="14" t="inlineStr">
        <is>
          <t>After initial 3 years and 6 months, lease renews automatically for extensions of 3 years and 6 months unless terminated with 9 months' notice. Tenant has right of first refusal for the 4th floor, B.</t>
        </is>
      </c>
      <c r="C24" s="15" t="inlineStr">
        <is>
          <t>After initial 3 years and 6 months, lease renews automatically for extensions of 3 years and 6 months unless terminated with 9 months' notice. Tenant has right of first refusal for the 4th floor, B.</t>
        </is>
      </c>
      <c r="D24" s="14" t="n"/>
      <c r="E24" s="14" t="n"/>
      <c r="F24" s="14" t="n"/>
      <c r="G24" s="14" t="n"/>
      <c r="H24" s="14" t="n">
        <v>0.671123316529983</v>
      </c>
    </row>
    <row r="25" ht="43.2" customHeight="1">
      <c r="A25" s="14" t="inlineStr">
        <is>
          <t>FullySigned_Allonge_II_Virtual_Vaults_Nederland.pdf</t>
        </is>
      </c>
      <c r="B25" s="14" t="inlineStr">
        <is>
          <t>Lease is extended for 5 years (Nov 2027–Oct 2032), then continues in periods of 5 years unless terminated with 12-month notice; right of first refusal for 3rd floor, building B.</t>
        </is>
      </c>
      <c r="C25" s="15" t="inlineStr">
        <is>
          <t>Lease is extended for 5 years (Nov 2027–Oct 2032), then continues in periods of 5 years unless terminated with 12-month notice; right of first refusal for 3rd floor, building B.</t>
        </is>
      </c>
      <c r="D25" s="14" t="n"/>
      <c r="E25" s="14" t="n"/>
      <c r="F25" s="14" t="n"/>
      <c r="G25" s="14" t="n"/>
      <c r="H25" s="14" t="n">
        <v>0.565376815792741</v>
      </c>
    </row>
    <row r="26" ht="43.2" customHeight="1">
      <c r="A26" s="14" t="inlineStr">
        <is>
          <t>FullySigned_Lease_Agreement_Neste_EDGE_Coolsingel.pdf</t>
        </is>
      </c>
      <c r="B26" s="14" t="inlineStr">
        <is>
          <t>Tenant may extend for consecutive 5-year terms; right of first refusal on 5th floor and second refusal on 6th floor if conditions met; competitor clause applies for 6th floor.</t>
        </is>
      </c>
      <c r="C26" s="15" t="inlineStr">
        <is>
          <t>Tenant may extend for consecutive 5-year terms; right of first refusal on 5th floor and second refusal on 6th floor if conditions met; competitor clause applies for 6th floor.</t>
        </is>
      </c>
      <c r="D26" s="14" t="n"/>
      <c r="E26" s="14" t="n"/>
      <c r="F26" s="14" t="n"/>
      <c r="G26" s="14" t="n"/>
      <c r="H26" s="14" t="n">
        <v>0.6790854068594486</v>
      </c>
    </row>
    <row r="27" ht="28.8" customHeight="1">
      <c r="A27" s="14" t="inlineStr">
        <is>
          <t>HOK Waalhaven Group (signed).pdf</t>
        </is>
      </c>
      <c r="B27" s="14" t="inlineStr">
        <is>
          <t>Lease automatically extends for 5-year periods after initial 5-year term unless terminated by 12-month notice by Tenant or Landlord.</t>
        </is>
      </c>
      <c r="C27" s="15" t="inlineStr">
        <is>
          <t>Lease automatically extends for 5-year periods after initial 5-year term unless terminated by 12-month notice by Tenant or Landlord.</t>
        </is>
      </c>
      <c r="D27" s="14" t="n"/>
      <c r="E27" s="14" t="n"/>
      <c r="F27" s="14" t="n"/>
      <c r="G27" s="14" t="n"/>
      <c r="H27" s="14" t="n">
        <v>0.5884615384615385</v>
      </c>
    </row>
    <row r="28" ht="43.2" customHeight="1">
      <c r="A28" s="14" t="inlineStr">
        <is>
          <t>Hovk Avans  (3e+4e+5e verd.) 20140425.pdf</t>
        </is>
      </c>
      <c r="B28" s="14" t="inlineStr">
        <is>
          <t>Huurder heeft het recht deze huurovereenkomst na afloop van de huurtermijn op 30 juni 2019 te verlengen met een periode van 5 jaar tegen gelijkblijvende condities.</t>
        </is>
      </c>
      <c r="C28" s="15" t="inlineStr">
        <is>
          <t>Huurder heeft het recht deze huurovereenkomst na afloop van de huurtermijn op 30 juni 2019 te verlengen met een periode van 5 jaar tegen gelijkblijvende condities.</t>
        </is>
      </c>
      <c r="D28" s="14" t="n"/>
      <c r="E28" s="14" t="n"/>
      <c r="F28" s="14" t="n"/>
      <c r="G28" s="14" t="n"/>
      <c r="H28" s="14" t="n">
        <v>0.5941747572815534</v>
      </c>
    </row>
    <row r="29" ht="28.8" customHeight="1">
      <c r="A29" s="14" t="inlineStr">
        <is>
          <t>HOVK Power4People 2025.pdf</t>
        </is>
      </c>
      <c r="B29" s="14" t="inlineStr">
        <is>
          <t>Service agreement renews for 12 months unless written notice is received at least 3 months before end date</t>
        </is>
      </c>
      <c r="C29" s="15" t="inlineStr">
        <is>
          <t>Service agreement renews for 12 months unless written notice is received at least 3 months before end date</t>
        </is>
      </c>
      <c r="D29" s="14" t="n"/>
      <c r="E29" s="14" t="n"/>
      <c r="F29" s="14" t="n"/>
      <c r="G29" s="14" t="n"/>
      <c r="H29" s="14" t="n">
        <v>0.6370936902485661</v>
      </c>
    </row>
    <row r="30" ht="43.2" customHeight="1">
      <c r="A30" s="14" t="inlineStr">
        <is>
          <t>Huurovereenkomst (Semmie Group B.V.) - Wilhelminasingel 19, Breda.pdf</t>
        </is>
      </c>
      <c r="B30" s="14" t="inlineStr">
        <is>
          <t>Deze huurovereenkomst wordt na de initiële periode automatisch voortgezet voor telkens 1 jaar, tenzij beëindigd door opzegging met 6 maanden opzegtermijn.</t>
        </is>
      </c>
      <c r="C30" s="15" t="inlineStr">
        <is>
          <t>Deze huurovereenkomst wordt na de initiële periode automatisch voortgezet voor telkens 1 jaar, tenzij beëindigd door opzegging met 6 maanden opzegtermijn.</t>
        </is>
      </c>
      <c r="D30" s="14" t="n"/>
      <c r="E30" s="14" t="n"/>
      <c r="F30" s="14" t="n"/>
      <c r="G30" s="14" t="n"/>
      <c r="H30" s="14" t="n">
        <v>0.9103825136612022</v>
      </c>
    </row>
    <row r="31" ht="28.8" customHeight="1">
      <c r="A31" s="14" t="inlineStr">
        <is>
          <t>Huurovereenkomst - proces-verbaal van oplevering - sleuteloverdracht - Kennedyplein 101 - getekend.pdf</t>
        </is>
      </c>
      <c r="B31" s="14" t="inlineStr">
        <is>
          <t>After initial 3-year term, lease extends for 2 years, then auto-renews for 1 year periods. 12-month notice required for termination.</t>
        </is>
      </c>
      <c r="C31" s="15" t="inlineStr">
        <is>
          <t>After initial 3-year term, lease extends for 2 years, then auto-renews for 1 year periods. 12-month notice required for termination.</t>
        </is>
      </c>
      <c r="D31" s="14" t="n"/>
      <c r="E31" s="14" t="n"/>
      <c r="F31" s="14" t="n"/>
      <c r="G31" s="14" t="n"/>
      <c r="H31" s="14" t="n">
        <v>0.7305179168313983</v>
      </c>
    </row>
    <row r="32" ht="43.2" customHeight="1">
      <c r="A32" s="14" t="inlineStr">
        <is>
          <t>Huurovereenkomst Bijster 5 te Breda getekend.pdf</t>
        </is>
      </c>
      <c r="B32" s="14" t="inlineStr">
        <is>
          <t>Lease continues for 5-year periods; both parties can terminate by giving 12 months' notice before period end. First possible termination: 31 December 2035.</t>
        </is>
      </c>
      <c r="C32" s="15" t="inlineStr">
        <is>
          <t>Lease continues for 5-year periods; both parties can terminate by giving 12 months' notice before period end. First possible termination: 31 December 2035.</t>
        </is>
      </c>
      <c r="D32" s="14" t="n"/>
      <c r="E32" s="14" t="n"/>
      <c r="F32" s="14" t="n"/>
      <c r="G32" s="14" t="n"/>
      <c r="H32" s="14" t="n">
        <v>0.9103825136612022</v>
      </c>
    </row>
    <row r="33" ht="43.2" customHeight="1">
      <c r="A33" s="14" t="inlineStr">
        <is>
          <t>Huurovereenkomst Catena Pand Son - Skymark (Son en Breugel - NLD).pdf</t>
        </is>
      </c>
      <c r="B33" s="14" t="inlineStr">
        <is>
          <t>After initial 10 years (ending 30 April 2024), lease extends automatically for 5-year terms; termination requires at least 12 months' notice before end of term.</t>
        </is>
      </c>
      <c r="C33" s="15" t="inlineStr">
        <is>
          <t>After initial 10 years (ending 30 April 2024), lease extends automatically for 5-year terms; termination requires at least 12 months' notice before end of term.</t>
        </is>
      </c>
      <c r="D33" s="14" t="n"/>
      <c r="E33" s="14" t="n"/>
      <c r="F33" s="14" t="n"/>
      <c r="G33" s="14" t="n"/>
      <c r="H33" s="14" t="n">
        <v>0.663050231078112</v>
      </c>
    </row>
    <row r="34" ht="43.2" customHeight="1">
      <c r="A34" s="14" t="inlineStr">
        <is>
          <t>Huurovereenkomst KPN Opstelpunt Parallelweg 64 20130313.pdf</t>
        </is>
      </c>
      <c r="B34" s="14" t="inlineStr">
        <is>
          <t>Lease auto-extends for 5-year periods unless tenant gives 12 months notice; tenant also allowed to transfer lease or terminate with 6 months notice under certain conditions.</t>
        </is>
      </c>
      <c r="C34" s="15" t="inlineStr">
        <is>
          <t>Lease auto-extends for 5-year periods unless tenant gives 12 months notice; tenant also allowed to transfer lease or terminate with 6 months notice under certain conditions.</t>
        </is>
      </c>
      <c r="D34" s="14" t="n"/>
      <c r="E34" s="14" t="n"/>
      <c r="F34" s="14" t="n"/>
      <c r="G34" s="14" t="n"/>
      <c r="H34" s="14" t="n">
        <v>0.5748131109833237</v>
      </c>
    </row>
    <row r="35" ht="43.2" customHeight="1">
      <c r="A35" s="14" t="inlineStr">
        <is>
          <t>Huurovereenkomst PBG Parallelweg 64 (beg.grond) 20121008.pdf</t>
        </is>
      </c>
      <c r="B35" s="14" t="inlineStr">
        <is>
          <t>Na afloop van een huurperiode wordt verlengd met telkens 5 jaar; huurder mag tussentijds beëindigen per 30-09-2017, 30-09-2018 of 30-09-2019 met 6 maanden opzegtermijn</t>
        </is>
      </c>
      <c r="C35" s="15" t="inlineStr">
        <is>
          <t>Na afloop van een huurperiode wordt verlengd met telkens 5 jaar; huurder mag tussentijds beëindigen per 30-09-2017, 30-09-2018 of 30-09-2019 met 6 maanden opzegtermijn</t>
        </is>
      </c>
      <c r="D35" s="14" t="n"/>
      <c r="E35" s="14" t="n"/>
      <c r="F35" s="14" t="n"/>
      <c r="G35" s="14" t="n"/>
      <c r="H35" s="14" t="n">
        <v>0.5941747572815534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EUR</t>
        </is>
      </c>
      <c r="C2" s="15" t="inlineStr">
        <is>
          <t>EUR</t>
        </is>
      </c>
      <c r="D2" s="14" t="n"/>
      <c r="E2" s="14" t="n"/>
      <c r="F2" s="14" t="n"/>
      <c r="G2" s="14" t="n"/>
      <c r="H2" s="14" t="n">
        <v>0.9389448725548312</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EUR</t>
        </is>
      </c>
      <c r="C3" s="15" t="inlineStr">
        <is>
          <t>EUR</t>
        </is>
      </c>
      <c r="D3" s="14" t="n"/>
      <c r="E3" s="14" t="n"/>
      <c r="F3" s="14" t="n"/>
      <c r="G3" s="14" t="n"/>
      <c r="H3" s="14" t="n">
        <v>0.9389448725548312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EUR</t>
        </is>
      </c>
      <c r="C4" s="15" t="inlineStr">
        <is>
          <t>EUR</t>
        </is>
      </c>
      <c r="D4" s="14" t="n"/>
      <c r="E4" s="14" t="n"/>
      <c r="F4" s="14" t="n"/>
      <c r="G4" s="14" t="n"/>
      <c r="H4" s="14" t="n">
        <v>0.9366786140979689</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EUR</t>
        </is>
      </c>
      <c r="C5" s="15" t="inlineStr">
        <is>
          <t>EUR</t>
        </is>
      </c>
      <c r="D5" s="14" t="n"/>
      <c r="E5" s="14" t="n"/>
      <c r="F5" s="14" t="n"/>
      <c r="G5" s="14" t="n"/>
      <c r="H5" s="14" t="n">
        <v>0.9366786140979689</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EUR</t>
        </is>
      </c>
      <c r="C6" s="15" t="inlineStr">
        <is>
          <t>EUR</t>
        </is>
      </c>
      <c r="D6" s="14" t="n"/>
      <c r="E6" s="14" t="n"/>
      <c r="F6" s="14" t="n"/>
      <c r="G6" s="14" t="n"/>
      <c r="H6" s="14" t="n">
        <v>0.9389448725548312</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EUR</t>
        </is>
      </c>
      <c r="C7" s="15" t="inlineStr">
        <is>
          <t>EUR</t>
        </is>
      </c>
      <c r="D7" s="14" t="n"/>
      <c r="E7" s="14" t="n"/>
      <c r="F7" s="14" t="n"/>
      <c r="G7" s="14" t="n"/>
      <c r="H7" s="14" t="n">
        <v>0.9209302325581395</v>
      </c>
      <c r="K7" s="17" t="inlineStr">
        <is>
          <t>Total Docs Tested</t>
        </is>
      </c>
      <c r="L7" s="19">
        <f>COUNTA(A2:A36)</f>
        <v/>
      </c>
      <c r="N7" s="17" t="inlineStr">
        <is>
          <t>Total Docs Tested</t>
        </is>
      </c>
      <c r="O7" s="19">
        <f>COUNTA(A2:A36)</f>
        <v/>
      </c>
    </row>
    <row r="8">
      <c r="A8" s="14" t="inlineStr">
        <is>
          <t>20260629 HOK ADHDcentraal BV (1).pdf</t>
        </is>
      </c>
      <c r="B8" s="14" t="inlineStr">
        <is>
          <t>EUR</t>
        </is>
      </c>
      <c r="C8" s="15" t="inlineStr">
        <is>
          <t>EUR</t>
        </is>
      </c>
      <c r="D8" s="14" t="n"/>
      <c r="E8" s="14" t="n"/>
      <c r="F8" s="14" t="n"/>
      <c r="G8" s="14" t="n"/>
      <c r="H8" s="14" t="n">
        <v>0.9366786140979689</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EUR</t>
        </is>
      </c>
      <c r="C9" s="15" t="inlineStr">
        <is>
          <t>EUR</t>
        </is>
      </c>
      <c r="D9" s="14" t="n"/>
      <c r="E9" s="14" t="n"/>
      <c r="F9" s="14" t="n"/>
      <c r="G9" s="14" t="n"/>
      <c r="H9" s="14" t="n">
        <v>0.9366786140979689</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EUR</t>
        </is>
      </c>
      <c r="C10" s="15" t="inlineStr">
        <is>
          <t>EUR</t>
        </is>
      </c>
      <c r="D10" s="14" t="n"/>
      <c r="E10" s="14" t="n"/>
      <c r="F10" s="14" t="n"/>
      <c r="G10" s="14" t="n"/>
      <c r="H10" s="14" t="n">
        <v>0.9366786140979689</v>
      </c>
      <c r="K10" s="20" t="inlineStr">
        <is>
          <t>Highlighted rows = file(s) not in the annotation sheet; excluded from all metrics above.</t>
        </is>
      </c>
    </row>
    <row r="11">
      <c r="A11" s="14" t="inlineStr">
        <is>
          <t>20270801 - Getekende Allonge II Advario BV.pdf</t>
        </is>
      </c>
      <c r="B11" s="14" t="inlineStr">
        <is>
          <t>EUR</t>
        </is>
      </c>
      <c r="C11" s="15" t="inlineStr">
        <is>
          <t>EUR</t>
        </is>
      </c>
      <c r="D11" s="14" t="n"/>
      <c r="E11" s="14" t="n"/>
      <c r="F11" s="14" t="n"/>
      <c r="G11" s="14" t="n"/>
      <c r="H11" s="14" t="n">
        <v>0.9389448725548312</v>
      </c>
      <c r="K11" s="17" t="inlineStr">
        <is>
          <t>Validation Rules Example</t>
        </is>
      </c>
    </row>
    <row r="12">
      <c r="A12" s="14" t="inlineStr">
        <is>
          <t>240119 HOVK Spoorlaan 446-448 Tilburg signed.pdf</t>
        </is>
      </c>
      <c r="B12" s="14" t="inlineStr">
        <is>
          <t>EUR</t>
        </is>
      </c>
      <c r="C12" s="15" t="inlineStr">
        <is>
          <t>EUR</t>
        </is>
      </c>
      <c r="D12" s="14" t="n"/>
      <c r="E12" s="14" t="n"/>
      <c r="F12" s="14" t="n"/>
      <c r="G12" s="14" t="n"/>
      <c r="H12" s="14" t="n">
        <v>0.9389448725548312</v>
      </c>
      <c r="K12" s="16" t="inlineStr">
        <is>
          <t>Manual Data</t>
        </is>
      </c>
      <c r="L12" s="16" t="inlineStr">
        <is>
          <t>Response Data</t>
        </is>
      </c>
      <c r="M12" s="16" t="inlineStr">
        <is>
          <t>Result</t>
        </is>
      </c>
    </row>
    <row r="13">
      <c r="A13" s="14" t="inlineStr">
        <is>
          <t>27001 Rijksvastgoedbedrijf Huurovereenkomst - __27-01-2026_9-07-56.pdf</t>
        </is>
      </c>
      <c r="B13" s="14" t="inlineStr">
        <is>
          <t>EUR</t>
        </is>
      </c>
      <c r="C13" s="15" t="inlineStr">
        <is>
          <t>EUR</t>
        </is>
      </c>
      <c r="D13" s="14" t="n"/>
      <c r="E13" s="14" t="n"/>
      <c r="F13" s="14" t="n"/>
      <c r="G13" s="14" t="n"/>
      <c r="H13" s="14" t="n">
        <v>0.9389448725548312</v>
      </c>
      <c r="K13" t="n">
        <v>100</v>
      </c>
      <c r="L13" t="n">
        <v>100</v>
      </c>
      <c r="M13" t="inlineStr">
        <is>
          <t>TP</t>
        </is>
      </c>
    </row>
    <row r="14">
      <c r="A14" s="14" t="inlineStr">
        <is>
          <t>CBRE_AT_Services_ENG_-_RITUALS_CBRE signed.pdf</t>
        </is>
      </c>
      <c r="B14" s="14" t="inlineStr">
        <is>
          <t>EUR</t>
        </is>
      </c>
      <c r="C14" s="15" t="inlineStr">
        <is>
          <t>EUR</t>
        </is>
      </c>
      <c r="D14" s="14" t="n"/>
      <c r="E14" s="14" t="n"/>
      <c r="F14" s="14" t="n"/>
      <c r="G14" s="14" t="n"/>
      <c r="H14" s="14" t="n">
        <v>1</v>
      </c>
      <c r="L14" t="n">
        <v>100</v>
      </c>
      <c r="M14" t="inlineStr">
        <is>
          <t>FP</t>
        </is>
      </c>
    </row>
    <row r="15">
      <c r="A15" s="14" t="inlineStr">
        <is>
          <t>CBRE_Engagement_Letter_Alnylam_20260525_CLEAN_Version_signed all.pdf</t>
        </is>
      </c>
      <c r="B15" s="14" t="inlineStr">
        <is>
          <t>EUR</t>
        </is>
      </c>
      <c r="C15" s="15" t="inlineStr">
        <is>
          <t>EUR</t>
        </is>
      </c>
      <c r="D15" s="14" t="n"/>
      <c r="E15" s="14" t="n"/>
      <c r="F15" s="14" t="n"/>
      <c r="G15" s="14" t="n"/>
      <c r="H15" s="14" t="n">
        <v>0.8727272727272727</v>
      </c>
      <c r="K15" t="n">
        <v>100</v>
      </c>
      <c r="L15" t="n">
        <v>200</v>
      </c>
      <c r="M15" t="inlineStr">
        <is>
          <t>FP</t>
        </is>
      </c>
    </row>
    <row r="16">
      <c r="A16" s="14" t="inlineStr">
        <is>
          <t>COMPL DEF Huurovereenkomst - Skybox - Pepperl+Fuchs - 20260204.pdf</t>
        </is>
      </c>
      <c r="B16" s="14" t="inlineStr">
        <is>
          <t>EUR</t>
        </is>
      </c>
      <c r="C16" s="15" t="inlineStr">
        <is>
          <t>EUR</t>
        </is>
      </c>
      <c r="D16" s="14" t="n"/>
      <c r="E16" s="14" t="n"/>
      <c r="F16" s="14" t="n"/>
      <c r="G16" s="14" t="n"/>
      <c r="H16" s="14" t="n">
        <v>0.9389448725548312</v>
      </c>
      <c r="K16" t="n">
        <v>100</v>
      </c>
      <c r="M16" t="inlineStr">
        <is>
          <t>FN</t>
        </is>
      </c>
    </row>
    <row r="17">
      <c r="A17" s="14" t="inlineStr">
        <is>
          <t>COMPL Huurovereenkomst - Stichting CCE - Kantoorgebouw Metzpoint I Dr. Holtroplaan - Fully Signed.pdf</t>
        </is>
      </c>
      <c r="B17" s="14" t="inlineStr">
        <is>
          <t>EUR</t>
        </is>
      </c>
      <c r="C17" s="15" t="inlineStr">
        <is>
          <t>EUR</t>
        </is>
      </c>
      <c r="D17" s="14" t="n"/>
      <c r="E17" s="14" t="n"/>
      <c r="F17" s="14" t="n"/>
      <c r="G17" s="14" t="n"/>
      <c r="H17" s="14" t="n">
        <v>0.9366786140979689</v>
      </c>
      <c r="M17" t="inlineStr">
        <is>
          <t>TN</t>
        </is>
      </c>
    </row>
    <row r="18">
      <c r="A18" s="14" t="inlineStr">
        <is>
          <t>COMPL Regel Partners - HOVK - Luchthavenweg 81 - 20260728.pdf</t>
        </is>
      </c>
      <c r="B18" s="14" t="inlineStr">
        <is>
          <t>EUR</t>
        </is>
      </c>
      <c r="C18" s="15" t="inlineStr">
        <is>
          <t>EUR</t>
        </is>
      </c>
      <c r="D18" s="14" t="n"/>
      <c r="E18" s="14" t="n"/>
      <c r="F18" s="14" t="n"/>
      <c r="G18" s="14" t="n"/>
      <c r="H18" s="14" t="n">
        <v>0.9</v>
      </c>
    </row>
    <row r="19">
      <c r="A19" s="14" t="inlineStr">
        <is>
          <t>COMPL_-_Onderhuurovereenkomst_Zelfstroom_B.V._-_50five_B.V._-_kantoorgebouw_Riva_-_05032026.pdf</t>
        </is>
      </c>
      <c r="B19" s="14" t="inlineStr">
        <is>
          <t>EUR</t>
        </is>
      </c>
      <c r="C19" s="15" t="inlineStr">
        <is>
          <t>EUR</t>
        </is>
      </c>
      <c r="D19" s="14" t="n"/>
      <c r="E19" s="14" t="n"/>
      <c r="F19" s="14" t="n"/>
      <c r="G19" s="14" t="n"/>
      <c r="H19" s="14" t="n">
        <v>0.888888888888889</v>
      </c>
      <c r="K19" s="17" t="inlineStr">
        <is>
          <t>Field:</t>
        </is>
      </c>
      <c r="L19" t="inlineStr">
        <is>
          <t>Terms / Ref_asking_rent_monthly_uom_desc</t>
        </is>
      </c>
    </row>
    <row r="20">
      <c r="A20" s="14" t="inlineStr">
        <is>
          <t>Den Bosch, Ruwekampweg 4, HOVK getekend.pdf</t>
        </is>
      </c>
      <c r="B20" s="14" t="inlineStr">
        <is>
          <t>EUR</t>
        </is>
      </c>
      <c r="C20" s="15" t="inlineStr">
        <is>
          <t>EUR</t>
        </is>
      </c>
      <c r="D20" s="14" t="n"/>
      <c r="E20" s="14" t="n"/>
      <c r="F20" s="14" t="n"/>
      <c r="G20" s="14" t="n"/>
      <c r="H20" s="14" t="n">
        <v>0.9366786140979689</v>
      </c>
    </row>
    <row r="21">
      <c r="A21" s="14" t="inlineStr">
        <is>
          <t>FULLY SIGNED - COMPL Huurovereenkomst - Heijmans - Hugo de Grootlaan 23 's-Hertogenbosch V2 30-9-2025.pdf</t>
        </is>
      </c>
      <c r="B21" s="14" t="inlineStr">
        <is>
          <t>EUR</t>
        </is>
      </c>
      <c r="C21" s="15" t="inlineStr">
        <is>
          <t>EUR</t>
        </is>
      </c>
      <c r="D21" s="14" t="n"/>
      <c r="E21" s="14" t="n"/>
      <c r="F21" s="14" t="n"/>
      <c r="G21" s="14" t="n"/>
      <c r="H21" s="14" t="n">
        <v>1</v>
      </c>
    </row>
    <row r="22">
      <c r="A22" s="14" t="inlineStr">
        <is>
          <t>FULLY SIGNED - DEF_COMPL_Huurovereenkomst_Robo_Charge_-_Campus_Offices_-_20260220.pdf</t>
        </is>
      </c>
      <c r="B22" s="14" t="inlineStr">
        <is>
          <t>EUR</t>
        </is>
      </c>
      <c r="C22" s="15" t="inlineStr">
        <is>
          <t>EUR</t>
        </is>
      </c>
      <c r="D22" s="14" t="n"/>
      <c r="E22" s="14" t="n"/>
      <c r="F22" s="14" t="n"/>
      <c r="G22" s="14" t="n"/>
      <c r="H22" s="14" t="n">
        <v>0.9209302325581395</v>
      </c>
    </row>
    <row r="23">
      <c r="A23" s="14" t="inlineStr">
        <is>
          <t>FULLY SIGNED - Onderhuurovereenkomst Aartshertogenlaan 223, `s-Hertogenbosch - Koning Willem I College B.V. 2606202.pdf</t>
        </is>
      </c>
      <c r="B23" s="14" t="inlineStr">
        <is>
          <t>EUR</t>
        </is>
      </c>
      <c r="C23" s="15" t="inlineStr">
        <is>
          <t>EUR</t>
        </is>
      </c>
      <c r="D23" s="14" t="n"/>
      <c r="E23" s="14" t="n"/>
      <c r="F23" s="14" t="n"/>
      <c r="G23" s="14" t="n"/>
      <c r="H23" s="14" t="n">
        <v>0.9389448725548312</v>
      </c>
    </row>
    <row r="24">
      <c r="A24" s="14" t="inlineStr">
        <is>
          <t>FULLY SIGNED COMPL_DEF_Huurovereenkomst_Bond_Bergschot_Breda.pdf</t>
        </is>
      </c>
      <c r="B24" s="14" t="inlineStr">
        <is>
          <t>EUR</t>
        </is>
      </c>
      <c r="C24" s="15" t="inlineStr">
        <is>
          <t>EUR</t>
        </is>
      </c>
      <c r="D24" s="14" t="n"/>
      <c r="E24" s="14" t="n"/>
      <c r="F24" s="14" t="n"/>
      <c r="G24" s="14" t="n"/>
      <c r="H24" s="14" t="n">
        <v>0.9389448725548312</v>
      </c>
    </row>
    <row r="25">
      <c r="A25" s="14" t="inlineStr">
        <is>
          <t>FullySigned_Allonge_II_Virtual_Vaults_Nederland.pdf</t>
        </is>
      </c>
      <c r="B25" s="14" t="inlineStr">
        <is>
          <t>EUR</t>
        </is>
      </c>
      <c r="C25" s="15" t="inlineStr">
        <is>
          <t>EUR</t>
        </is>
      </c>
      <c r="D25" s="14" t="n"/>
      <c r="E25" s="14" t="n"/>
      <c r="F25" s="14" t="n"/>
      <c r="G25" s="14" t="n"/>
      <c r="H25" s="14" t="n">
        <v>0.9389448725548312</v>
      </c>
    </row>
    <row r="26">
      <c r="A26" s="14" t="inlineStr">
        <is>
          <t>FullySigned_Lease_Agreement_Neste_EDGE_Coolsingel.pdf</t>
        </is>
      </c>
      <c r="B26" s="14" t="inlineStr">
        <is>
          <t>EUR</t>
        </is>
      </c>
      <c r="C26" s="15" t="inlineStr">
        <is>
          <t>EUR</t>
        </is>
      </c>
      <c r="D26" s="14" t="n"/>
      <c r="E26" s="14" t="n"/>
      <c r="F26" s="14" t="n"/>
      <c r="G26" s="14" t="n"/>
      <c r="H26" s="14" t="n">
        <v>0.9366786140979689</v>
      </c>
    </row>
    <row r="27">
      <c r="A27" s="14" t="inlineStr">
        <is>
          <t>HOK Waalhaven Group (signed).pdf</t>
        </is>
      </c>
      <c r="B27" s="14" t="inlineStr">
        <is>
          <t>EUR</t>
        </is>
      </c>
      <c r="C27" s="15" t="inlineStr">
        <is>
          <t>EUR</t>
        </is>
      </c>
      <c r="D27" s="14" t="n"/>
      <c r="E27" s="14" t="n"/>
      <c r="F27" s="14" t="n"/>
      <c r="G27" s="14" t="n"/>
      <c r="H27" s="14" t="n">
        <v>0.9389448725548312</v>
      </c>
    </row>
    <row r="28">
      <c r="A28" s="14" t="inlineStr">
        <is>
          <t>Hovk Avans  (3e+4e+5e verd.) 20140425.pdf</t>
        </is>
      </c>
      <c r="B28" s="14" t="inlineStr">
        <is>
          <t>EUR</t>
        </is>
      </c>
      <c r="C28" s="15" t="inlineStr">
        <is>
          <t>EUR</t>
        </is>
      </c>
      <c r="D28" s="14" t="n"/>
      <c r="E28" s="14" t="n"/>
      <c r="F28" s="14" t="n"/>
      <c r="G28" s="14" t="n"/>
      <c r="H28" s="14" t="n">
        <v>0.9366786140979689</v>
      </c>
    </row>
    <row r="29">
      <c r="A29" s="14" t="inlineStr">
        <is>
          <t>HOVK Power4People 2025.pdf</t>
        </is>
      </c>
      <c r="B29" s="14" t="inlineStr">
        <is>
          <t>EUR</t>
        </is>
      </c>
      <c r="C29" s="15" t="inlineStr">
        <is>
          <t>EUR</t>
        </is>
      </c>
      <c r="D29" s="14" t="n"/>
      <c r="E29" s="14" t="n"/>
      <c r="F29" s="14" t="n"/>
      <c r="G29" s="14" t="n"/>
      <c r="H29" s="14" t="n">
        <v>0.9366786140979689</v>
      </c>
    </row>
    <row r="30">
      <c r="A30" s="14" t="inlineStr">
        <is>
          <t>Huurovereenkomst (Semmie Group B.V.) - Wilhelminasingel 19, Breda.pdf</t>
        </is>
      </c>
      <c r="B30" s="14" t="inlineStr">
        <is>
          <t>EUR</t>
        </is>
      </c>
      <c r="C30" s="15" t="inlineStr">
        <is>
          <t>EUR</t>
        </is>
      </c>
      <c r="D30" s="14" t="n"/>
      <c r="E30" s="14" t="n"/>
      <c r="F30" s="14" t="n"/>
      <c r="G30" s="14" t="n"/>
      <c r="H30" s="14" t="n">
        <v>0.9209302325581395</v>
      </c>
    </row>
    <row r="31">
      <c r="A31" s="14" t="inlineStr">
        <is>
          <t>Huurovereenkomst - proces-verbaal van oplevering - sleuteloverdracht - Kennedyplein 101 - getekend.pdf</t>
        </is>
      </c>
      <c r="B31" s="14" t="inlineStr">
        <is>
          <t>EUR</t>
        </is>
      </c>
      <c r="C31" s="15" t="inlineStr">
        <is>
          <t>EUR</t>
        </is>
      </c>
      <c r="D31" s="14" t="n"/>
      <c r="E31" s="14" t="n"/>
      <c r="F31" s="14" t="n"/>
      <c r="G31" s="14" t="n"/>
      <c r="H31" s="14" t="n">
        <v>0.9389448725548312</v>
      </c>
    </row>
    <row r="32">
      <c r="A32" s="14" t="inlineStr">
        <is>
          <t>Huurovereenkomst Bijster 5 te Breda getekend.pdf</t>
        </is>
      </c>
      <c r="B32" s="14" t="inlineStr">
        <is>
          <t>EUR</t>
        </is>
      </c>
      <c r="C32" s="15" t="inlineStr">
        <is>
          <t>EUR</t>
        </is>
      </c>
      <c r="D32" s="14" t="n"/>
      <c r="E32" s="14" t="n"/>
      <c r="F32" s="14" t="n"/>
      <c r="G32" s="14" t="n"/>
      <c r="H32" s="14" t="n">
        <v>0.9389448725548312</v>
      </c>
    </row>
    <row r="33">
      <c r="A33" s="14" t="inlineStr">
        <is>
          <t>Huurovereenkomst Catena Pand Son - Skymark (Son en Breugel - NLD).pdf</t>
        </is>
      </c>
      <c r="B33" s="14" t="inlineStr">
        <is>
          <t>EUR</t>
        </is>
      </c>
      <c r="C33" s="15" t="inlineStr">
        <is>
          <t>EUR</t>
        </is>
      </c>
      <c r="D33" s="14" t="n"/>
      <c r="E33" s="14" t="n"/>
      <c r="F33" s="14" t="n"/>
      <c r="G33" s="14" t="n"/>
      <c r="H33" s="14" t="n">
        <v>0.9389448725548312</v>
      </c>
    </row>
    <row r="34">
      <c r="A34" s="14" t="inlineStr">
        <is>
          <t>Huurovereenkomst KPN Opstelpunt Parallelweg 64 20130313.pdf</t>
        </is>
      </c>
      <c r="B34" s="14" t="inlineStr">
        <is>
          <t>EUR</t>
        </is>
      </c>
      <c r="C34" s="15" t="inlineStr">
        <is>
          <t>EUR</t>
        </is>
      </c>
      <c r="D34" s="14" t="n"/>
      <c r="E34" s="14" t="n"/>
      <c r="F34" s="14" t="n"/>
      <c r="G34" s="14" t="n"/>
      <c r="H34" s="14" t="n">
        <v>0.9389448725548312</v>
      </c>
    </row>
    <row r="35">
      <c r="A35" s="14" t="inlineStr">
        <is>
          <t>Huurovereenkomst PBG Parallelweg 64 (beg.grond) 20121008.pdf</t>
        </is>
      </c>
      <c r="B35" s="14" t="inlineStr">
        <is>
          <t>EUR</t>
        </is>
      </c>
      <c r="C35" s="15" t="inlineStr">
        <is>
          <t>EUR</t>
        </is>
      </c>
      <c r="D35" s="14" t="n"/>
      <c r="E35" s="14" t="n"/>
      <c r="F35" s="14" t="n"/>
      <c r="G35" s="14" t="n"/>
      <c r="H35" s="14" t="n">
        <v>0.9389448725548312</v>
      </c>
    </row>
    <row r="36">
      <c r="A36" s="14" t="inlineStr">
        <is>
          <t>MWO CBRE SPA (ITALY) CBRE_090724.pdf</t>
        </is>
      </c>
      <c r="B36" s="14" t="inlineStr">
        <is>
          <t>EUR</t>
        </is>
      </c>
      <c r="C36" s="15" t="inlineStr">
        <is>
          <t>EUR</t>
        </is>
      </c>
      <c r="D36" s="14" t="n"/>
      <c r="E36" s="14" t="n"/>
      <c r="F36" s="14" t="n"/>
      <c r="G36" s="14" t="n"/>
      <c r="H36" s="14" t="n">
        <v>0.9366786140979689</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EUR</t>
        </is>
      </c>
      <c r="C2" s="15" t="inlineStr">
        <is>
          <t>EUR</t>
        </is>
      </c>
      <c r="D2" s="14" t="n"/>
      <c r="E2" s="14" t="n"/>
      <c r="F2" s="14" t="n"/>
      <c r="G2" s="14" t="n"/>
      <c r="H2" s="14" t="n">
        <v>0.9389448725548312</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EUR</t>
        </is>
      </c>
      <c r="C3" s="15" t="inlineStr">
        <is>
          <t>EUR</t>
        </is>
      </c>
      <c r="D3" s="14" t="n"/>
      <c r="E3" s="14" t="n"/>
      <c r="F3" s="14" t="n"/>
      <c r="G3" s="14" t="n"/>
      <c r="H3" s="14" t="n">
        <v>0.888888888888889</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EUR</t>
        </is>
      </c>
      <c r="C4" s="15" t="inlineStr">
        <is>
          <t>EUR</t>
        </is>
      </c>
      <c r="D4" s="14" t="n"/>
      <c r="E4" s="14" t="n"/>
      <c r="F4" s="14" t="n"/>
      <c r="G4" s="14" t="n"/>
      <c r="H4" s="14" t="n">
        <v>0.888888888888889</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EUR</t>
        </is>
      </c>
      <c r="C5" s="15" t="inlineStr">
        <is>
          <t>EUR</t>
        </is>
      </c>
      <c r="D5" s="14" t="n"/>
      <c r="E5" s="14" t="n"/>
      <c r="F5" s="14" t="n"/>
      <c r="G5" s="14" t="n"/>
      <c r="H5" s="14" t="n">
        <v>0.9366786140979689</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EUR</t>
        </is>
      </c>
      <c r="C6" s="15" t="inlineStr">
        <is>
          <t>EUR</t>
        </is>
      </c>
      <c r="D6" s="14" t="n"/>
      <c r="E6" s="14" t="n"/>
      <c r="F6" s="14" t="n"/>
      <c r="G6" s="14" t="n"/>
      <c r="H6" s="14" t="n">
        <v>0.888888888888889</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EUR</t>
        </is>
      </c>
      <c r="C7" s="15" t="inlineStr">
        <is>
          <t>EUR</t>
        </is>
      </c>
      <c r="D7" s="14" t="n"/>
      <c r="E7" s="14" t="n"/>
      <c r="F7" s="14" t="n"/>
      <c r="G7" s="14" t="n"/>
      <c r="H7" s="14" t="n">
        <v>0.9119999999999999</v>
      </c>
      <c r="K7" s="17" t="inlineStr">
        <is>
          <t>Total Docs Tested</t>
        </is>
      </c>
      <c r="L7" s="19">
        <f>COUNTA(A2:A36)</f>
        <v/>
      </c>
      <c r="N7" s="17" t="inlineStr">
        <is>
          <t>Total Docs Tested</t>
        </is>
      </c>
      <c r="O7" s="19">
        <f>COUNTA(A2:A36)</f>
        <v/>
      </c>
    </row>
    <row r="8">
      <c r="A8" s="14" t="inlineStr">
        <is>
          <t>20260629 HOK ADHDcentraal BV (1).pdf</t>
        </is>
      </c>
      <c r="B8" s="14" t="inlineStr">
        <is>
          <t>EUR</t>
        </is>
      </c>
      <c r="C8" s="15" t="inlineStr">
        <is>
          <t>EUR</t>
        </is>
      </c>
      <c r="D8" s="14" t="n"/>
      <c r="E8" s="14" t="n"/>
      <c r="F8" s="14" t="n"/>
      <c r="G8" s="14" t="n"/>
      <c r="H8" s="14" t="n">
        <v>1</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EUR</t>
        </is>
      </c>
      <c r="C9" s="15" t="inlineStr">
        <is>
          <t>EUR</t>
        </is>
      </c>
      <c r="D9" s="14" t="n"/>
      <c r="E9" s="14" t="n"/>
      <c r="F9" s="14" t="n"/>
      <c r="G9" s="14" t="n"/>
      <c r="H9" s="14" t="n">
        <v>0.888888888888889</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EUR</t>
        </is>
      </c>
      <c r="C10" s="15" t="inlineStr">
        <is>
          <t>EUR</t>
        </is>
      </c>
      <c r="D10" s="14" t="n"/>
      <c r="E10" s="14" t="n"/>
      <c r="F10" s="14" t="n"/>
      <c r="G10" s="14" t="n"/>
      <c r="H10" s="14" t="n">
        <v>0.9389448725548312</v>
      </c>
      <c r="K10" s="20" t="inlineStr">
        <is>
          <t>Highlighted rows = file(s) not in the annotation sheet; excluded from all metrics above.</t>
        </is>
      </c>
    </row>
    <row r="11">
      <c r="A11" s="14" t="inlineStr">
        <is>
          <t>20270801 - Getekende Allonge II Advario BV.pdf</t>
        </is>
      </c>
      <c r="B11" s="14" t="inlineStr">
        <is>
          <t>EUR</t>
        </is>
      </c>
      <c r="C11" s="15" t="inlineStr">
        <is>
          <t>EUR</t>
        </is>
      </c>
      <c r="D11" s="14" t="n"/>
      <c r="E11" s="14" t="n"/>
      <c r="F11" s="14" t="n"/>
      <c r="G11" s="14" t="n"/>
      <c r="H11" s="14" t="n">
        <v>0.9209302325581395</v>
      </c>
      <c r="K11" s="17" t="inlineStr">
        <is>
          <t>Validation Rules Example</t>
        </is>
      </c>
    </row>
    <row r="12">
      <c r="A12" s="14" t="inlineStr">
        <is>
          <t>240119 HOVK Spoorlaan 446-448 Tilburg signed.pdf</t>
        </is>
      </c>
      <c r="B12" s="14" t="inlineStr">
        <is>
          <t>EUR</t>
        </is>
      </c>
      <c r="C12" s="15" t="inlineStr">
        <is>
          <t>EUR</t>
        </is>
      </c>
      <c r="D12" s="14" t="n"/>
      <c r="E12" s="14" t="n"/>
      <c r="F12" s="14" t="n"/>
      <c r="G12" s="14" t="n"/>
      <c r="H12" s="14" t="n">
        <v>0.888888888888889</v>
      </c>
      <c r="K12" s="16" t="inlineStr">
        <is>
          <t>Manual Data</t>
        </is>
      </c>
      <c r="L12" s="16" t="inlineStr">
        <is>
          <t>Response Data</t>
        </is>
      </c>
      <c r="M12" s="16" t="inlineStr">
        <is>
          <t>Result</t>
        </is>
      </c>
    </row>
    <row r="13">
      <c r="A13" s="14" t="inlineStr">
        <is>
          <t>27001 Rijksvastgoedbedrijf Huurovereenkomst - __27-01-2026_9-07-56.pdf</t>
        </is>
      </c>
      <c r="B13" s="14" t="inlineStr">
        <is>
          <t>EUR</t>
        </is>
      </c>
      <c r="C13" s="15" t="inlineStr">
        <is>
          <t>EUR</t>
        </is>
      </c>
      <c r="D13" s="14" t="n"/>
      <c r="E13" s="14" t="n"/>
      <c r="F13" s="14" t="n"/>
      <c r="G13" s="14" t="n"/>
      <c r="H13" s="14" t="n">
        <v>0.888888888888889</v>
      </c>
      <c r="K13" t="n">
        <v>100</v>
      </c>
      <c r="L13" t="n">
        <v>100</v>
      </c>
      <c r="M13" t="inlineStr">
        <is>
          <t>TP</t>
        </is>
      </c>
    </row>
    <row r="14">
      <c r="A14" s="14" t="inlineStr">
        <is>
          <t>CBRE_AT_Services_ENG_-_RITUALS_CBRE signed.pdf</t>
        </is>
      </c>
      <c r="B14" s="14" t="inlineStr">
        <is>
          <t>EUR</t>
        </is>
      </c>
      <c r="C14" s="15" t="inlineStr">
        <is>
          <t>EUR</t>
        </is>
      </c>
      <c r="D14" s="14" t="n"/>
      <c r="E14" s="14" t="n"/>
      <c r="F14" s="14" t="n"/>
      <c r="G14" s="14" t="n"/>
      <c r="H14" s="14" t="n">
        <v>0.9366786140979689</v>
      </c>
      <c r="L14" t="n">
        <v>100</v>
      </c>
      <c r="M14" t="inlineStr">
        <is>
          <t>FP</t>
        </is>
      </c>
    </row>
    <row r="15">
      <c r="A15" s="14" t="inlineStr">
        <is>
          <t>CBRE_Engagement_Letter_Alnylam_20260525_CLEAN_Version_signed all.pdf</t>
        </is>
      </c>
      <c r="B15" s="14" t="inlineStr">
        <is>
          <t>EUR</t>
        </is>
      </c>
      <c r="C15" s="15" t="inlineStr">
        <is>
          <t>EUR</t>
        </is>
      </c>
      <c r="D15" s="14" t="n"/>
      <c r="E15" s="14" t="n"/>
      <c r="F15" s="14" t="n"/>
      <c r="G15" s="14" t="n"/>
      <c r="H15" s="14" t="n">
        <v>0.9296636085626911</v>
      </c>
      <c r="K15" t="n">
        <v>100</v>
      </c>
      <c r="L15" t="n">
        <v>200</v>
      </c>
      <c r="M15" t="inlineStr">
        <is>
          <t>FP</t>
        </is>
      </c>
    </row>
    <row r="16">
      <c r="A16" s="14" t="inlineStr">
        <is>
          <t>COMPL DEF Huurovereenkomst - Skybox - Pepperl+Fuchs - 20260204.pdf</t>
        </is>
      </c>
      <c r="B16" s="14" t="inlineStr">
        <is>
          <t>EUR</t>
        </is>
      </c>
      <c r="C16" s="15" t="inlineStr">
        <is>
          <t>EUR</t>
        </is>
      </c>
      <c r="D16" s="14" t="n"/>
      <c r="E16" s="14" t="n"/>
      <c r="F16" s="14" t="n"/>
      <c r="G16" s="14" t="n"/>
      <c r="H16" s="14" t="n">
        <v>0.888888888888889</v>
      </c>
      <c r="K16" t="n">
        <v>100</v>
      </c>
      <c r="M16" t="inlineStr">
        <is>
          <t>FN</t>
        </is>
      </c>
    </row>
    <row r="17">
      <c r="A17" s="14" t="inlineStr">
        <is>
          <t>COMPL Huurovereenkomst - Stichting CCE - Kantoorgebouw Metzpoint I Dr. Holtroplaan - Fully Signed.pdf</t>
        </is>
      </c>
      <c r="B17" s="14" t="inlineStr">
        <is>
          <t>EUR</t>
        </is>
      </c>
      <c r="C17" s="15" t="inlineStr">
        <is>
          <t>EUR</t>
        </is>
      </c>
      <c r="D17" s="14" t="n"/>
      <c r="E17" s="14" t="n"/>
      <c r="F17" s="14" t="n"/>
      <c r="G17" s="14" t="n"/>
      <c r="H17" s="14" t="n">
        <v>0.888888888888889</v>
      </c>
      <c r="M17" t="inlineStr">
        <is>
          <t>TN</t>
        </is>
      </c>
    </row>
    <row r="18">
      <c r="A18" s="14" t="inlineStr">
        <is>
          <t>COMPL Regel Partners - HOVK - Luchthavenweg 81 - 20260728.pdf</t>
        </is>
      </c>
      <c r="B18" s="14" t="inlineStr">
        <is>
          <t>EUR</t>
        </is>
      </c>
      <c r="C18" s="15" t="inlineStr">
        <is>
          <t>EUR</t>
        </is>
      </c>
      <c r="D18" s="14" t="n"/>
      <c r="E18" s="14" t="n"/>
      <c r="F18" s="14" t="n"/>
      <c r="G18" s="14" t="n"/>
      <c r="H18" s="14" t="n">
        <v>0.9209302325581395</v>
      </c>
    </row>
    <row r="19">
      <c r="A19" s="14" t="inlineStr">
        <is>
          <t>COMPL_-_Onderhuurovereenkomst_Zelfstroom_B.V._-_50five_B.V._-_kantoorgebouw_Riva_-_05032026.pdf</t>
        </is>
      </c>
      <c r="B19" s="14" t="inlineStr">
        <is>
          <t>EUR</t>
        </is>
      </c>
      <c r="C19" s="15" t="inlineStr">
        <is>
          <t>EUR</t>
        </is>
      </c>
      <c r="D19" s="14" t="n"/>
      <c r="E19" s="14" t="n"/>
      <c r="F19" s="14" t="n"/>
      <c r="G19" s="14" t="n"/>
      <c r="H19" s="14" t="n">
        <v>0.888888888888889</v>
      </c>
      <c r="K19" s="17" t="inlineStr">
        <is>
          <t>Field:</t>
        </is>
      </c>
      <c r="L19" t="inlineStr">
        <is>
          <t>Terms / Ref_asking_rent_yearly_uom_desc</t>
        </is>
      </c>
    </row>
    <row r="20">
      <c r="A20" s="14" t="inlineStr">
        <is>
          <t>Den Bosch, Ruwekampweg 4, HOVK getekend.pdf</t>
        </is>
      </c>
      <c r="B20" s="14" t="inlineStr">
        <is>
          <t>euro</t>
        </is>
      </c>
      <c r="C20" s="15" t="inlineStr">
        <is>
          <t>euro</t>
        </is>
      </c>
      <c r="D20" s="14" t="n"/>
      <c r="E20" s="14" t="n"/>
      <c r="F20" s="14" t="n"/>
      <c r="G20" s="14" t="n"/>
      <c r="H20" s="14" t="n">
        <v>1</v>
      </c>
    </row>
    <row r="21">
      <c r="A21" s="14" t="inlineStr">
        <is>
          <t>FULLY SIGNED - COMPL Huurovereenkomst - Heijmans - Hugo de Grootlaan 23 's-Hertogenbosch V2 30-9-2025.pdf</t>
        </is>
      </c>
      <c r="B21" s="14" t="inlineStr">
        <is>
          <t>EUR</t>
        </is>
      </c>
      <c r="C21" s="15" t="inlineStr">
        <is>
          <t>EUR</t>
        </is>
      </c>
      <c r="D21" s="14" t="n"/>
      <c r="E21" s="14" t="n"/>
      <c r="F21" s="14" t="n"/>
      <c r="G21" s="14" t="n"/>
      <c r="H21" s="14" t="n">
        <v>0.888888888888889</v>
      </c>
    </row>
    <row r="22">
      <c r="A22" s="14" t="inlineStr">
        <is>
          <t>FULLY SIGNED - DEF_COMPL_Huurovereenkomst_Robo_Charge_-_Campus_Offices_-_20260220.pdf</t>
        </is>
      </c>
      <c r="B22" s="14" t="inlineStr">
        <is>
          <t>EUR</t>
        </is>
      </c>
      <c r="C22" s="15" t="inlineStr">
        <is>
          <t>EUR</t>
        </is>
      </c>
      <c r="D22" s="14" t="n"/>
      <c r="E22" s="14" t="n"/>
      <c r="F22" s="14" t="n"/>
      <c r="G22" s="14" t="n"/>
      <c r="H22" s="14" t="n">
        <v>0.888888888888889</v>
      </c>
    </row>
    <row r="23">
      <c r="A23" s="14" t="inlineStr">
        <is>
          <t>FULLY SIGNED - Onderhuurovereenkomst Aartshertogenlaan 223, `s-Hertogenbosch - Koning Willem I College B.V. 2606202.pdf</t>
        </is>
      </c>
      <c r="B23" s="14" t="inlineStr">
        <is>
          <t>€</t>
        </is>
      </c>
      <c r="C23" s="15" t="inlineStr">
        <is>
          <t>€</t>
        </is>
      </c>
      <c r="D23" s="14" t="n"/>
      <c r="E23" s="14" t="n"/>
      <c r="F23" s="14" t="n"/>
      <c r="G23" s="14" t="n"/>
      <c r="H23" s="14" t="n">
        <v>1</v>
      </c>
    </row>
    <row r="24">
      <c r="A24" s="14" t="inlineStr">
        <is>
          <t>FULLY SIGNED COMPL_DEF_Huurovereenkomst_Bond_Bergschot_Breda.pdf</t>
        </is>
      </c>
      <c r="B24" s="14" t="inlineStr">
        <is>
          <t>EUR</t>
        </is>
      </c>
      <c r="C24" s="15" t="inlineStr">
        <is>
          <t>EUR</t>
        </is>
      </c>
      <c r="D24" s="14" t="n"/>
      <c r="E24" s="14" t="n"/>
      <c r="F24" s="14" t="n"/>
      <c r="G24" s="14" t="n"/>
      <c r="H24" s="14" t="n">
        <v>0.888888888888889</v>
      </c>
    </row>
    <row r="25">
      <c r="A25" s="14" t="inlineStr">
        <is>
          <t>FullySigned_Allonge_II_Virtual_Vaults_Nederland.pdf</t>
        </is>
      </c>
      <c r="B25" s="14" t="inlineStr">
        <is>
          <t>EUR</t>
        </is>
      </c>
      <c r="C25" s="15" t="inlineStr">
        <is>
          <t>EUR</t>
        </is>
      </c>
      <c r="D25" s="14" t="n"/>
      <c r="E25" s="14" t="n"/>
      <c r="F25" s="14" t="n"/>
      <c r="G25" s="14" t="n"/>
      <c r="H25" s="14" t="n">
        <v>0.888888888888889</v>
      </c>
    </row>
    <row r="26">
      <c r="A26" s="14" t="inlineStr">
        <is>
          <t>FullySigned_Lease_Agreement_Neste_EDGE_Coolsingel.pdf</t>
        </is>
      </c>
      <c r="B26" s="14" t="inlineStr">
        <is>
          <t>EUR</t>
        </is>
      </c>
      <c r="C26" s="15" t="inlineStr">
        <is>
          <t>EUR</t>
        </is>
      </c>
      <c r="D26" s="14" t="n"/>
      <c r="E26" s="14" t="n"/>
      <c r="F26" s="14" t="n"/>
      <c r="G26" s="14" t="n"/>
      <c r="H26" s="14" t="n">
        <v>0.888888888888889</v>
      </c>
    </row>
    <row r="27">
      <c r="A27" s="14" t="inlineStr">
        <is>
          <t>HOK Waalhaven Group (signed).pdf</t>
        </is>
      </c>
      <c r="B27" s="14" t="inlineStr">
        <is>
          <t>EUR</t>
        </is>
      </c>
      <c r="C27" s="15" t="inlineStr">
        <is>
          <t>EUR</t>
        </is>
      </c>
      <c r="D27" s="14" t="n"/>
      <c r="E27" s="14" t="n"/>
      <c r="F27" s="14" t="n"/>
      <c r="G27" s="14" t="n"/>
      <c r="H27" s="14" t="n">
        <v>0.9119999999999999</v>
      </c>
    </row>
    <row r="28">
      <c r="A28" s="14" t="inlineStr">
        <is>
          <t>Hovk Avans  (3e+4e+5e verd.) 20140425.pdf</t>
        </is>
      </c>
      <c r="B28" s="14" t="inlineStr">
        <is>
          <t>EUR</t>
        </is>
      </c>
      <c r="C28" s="15" t="inlineStr">
        <is>
          <t>EUR</t>
        </is>
      </c>
      <c r="D28" s="14" t="n"/>
      <c r="E28" s="14" t="n"/>
      <c r="F28" s="14" t="n"/>
      <c r="G28" s="14" t="n"/>
      <c r="H28" s="14" t="n">
        <v>0.888888888888889</v>
      </c>
    </row>
    <row r="29">
      <c r="A29" s="14" t="inlineStr">
        <is>
          <t>HOVK Power4People 2025.pdf</t>
        </is>
      </c>
      <c r="B29" s="14" t="inlineStr">
        <is>
          <t>EUR</t>
        </is>
      </c>
      <c r="C29" s="15" t="inlineStr">
        <is>
          <t>EUR</t>
        </is>
      </c>
      <c r="D29" s="14" t="n"/>
      <c r="E29" s="14" t="n"/>
      <c r="F29" s="14" t="n"/>
      <c r="G29" s="14" t="n"/>
      <c r="H29" s="14" t="n">
        <v>0.9389448725548312</v>
      </c>
    </row>
    <row r="30">
      <c r="A30" s="14" t="inlineStr">
        <is>
          <t>Huurovereenkomst (Semmie Group B.V.) - Wilhelminasingel 19, Breda.pdf</t>
        </is>
      </c>
      <c r="B30" s="14" t="inlineStr">
        <is>
          <t>EUR</t>
        </is>
      </c>
      <c r="C30" s="15" t="inlineStr">
        <is>
          <t>EUR</t>
        </is>
      </c>
      <c r="D30" s="14" t="n"/>
      <c r="E30" s="14" t="n"/>
      <c r="F30" s="14" t="n"/>
      <c r="G30" s="14" t="n"/>
      <c r="H30" s="14" t="n">
        <v>0.888888888888889</v>
      </c>
    </row>
    <row r="31">
      <c r="A31" s="14" t="inlineStr">
        <is>
          <t>Huurovereenkomst - proces-verbaal van oplevering - sleuteloverdracht - Kennedyplein 101 - getekend.pdf</t>
        </is>
      </c>
      <c r="B31" s="14" t="inlineStr">
        <is>
          <t>EUR</t>
        </is>
      </c>
      <c r="C31" s="15" t="inlineStr">
        <is>
          <t>EUR</t>
        </is>
      </c>
      <c r="D31" s="14" t="n"/>
      <c r="E31" s="14" t="n"/>
      <c r="F31" s="14" t="n"/>
      <c r="G31" s="14" t="n"/>
      <c r="H31" s="14" t="n">
        <v>0.9389448725548312</v>
      </c>
    </row>
    <row r="32">
      <c r="A32" s="14" t="inlineStr">
        <is>
          <t>Huurovereenkomst Bijster 5 te Breda getekend.pdf</t>
        </is>
      </c>
      <c r="B32" s="14" t="inlineStr">
        <is>
          <t>EUR</t>
        </is>
      </c>
      <c r="C32" s="15" t="inlineStr">
        <is>
          <t>EUR</t>
        </is>
      </c>
      <c r="D32" s="14" t="n"/>
      <c r="E32" s="14" t="n"/>
      <c r="F32" s="14" t="n"/>
      <c r="G32" s="14" t="n"/>
      <c r="H32" s="14" t="n">
        <v>0.888888888888889</v>
      </c>
    </row>
    <row r="33">
      <c r="A33" s="14" t="inlineStr">
        <is>
          <t>Huurovereenkomst Catena Pand Son - Skymark (Son en Breugel - NLD).pdf</t>
        </is>
      </c>
      <c r="B33" s="14" t="inlineStr">
        <is>
          <t>EUR</t>
        </is>
      </c>
      <c r="C33" s="15" t="inlineStr">
        <is>
          <t>EUR</t>
        </is>
      </c>
      <c r="D33" s="14" t="n"/>
      <c r="E33" s="14" t="n"/>
      <c r="F33" s="14" t="n"/>
      <c r="G33" s="14" t="n"/>
      <c r="H33" s="14" t="n">
        <v>0.888888888888889</v>
      </c>
    </row>
    <row r="34">
      <c r="A34" s="14" t="inlineStr">
        <is>
          <t>Huurovereenkomst KPN Opstelpunt Parallelweg 64 20130313.pdf</t>
        </is>
      </c>
      <c r="B34" s="14" t="inlineStr">
        <is>
          <t>EUR</t>
        </is>
      </c>
      <c r="C34" s="15" t="inlineStr">
        <is>
          <t>EUR</t>
        </is>
      </c>
      <c r="D34" s="14" t="n"/>
      <c r="E34" s="14" t="n"/>
      <c r="F34" s="14" t="n"/>
      <c r="G34" s="14" t="n"/>
      <c r="H34" s="14" t="n">
        <v>0.888888888888889</v>
      </c>
    </row>
    <row r="35">
      <c r="A35" s="14" t="inlineStr">
        <is>
          <t>Huurovereenkomst PBG Parallelweg 64 (beg.grond) 20121008.pdf</t>
        </is>
      </c>
      <c r="B35" s="14" t="inlineStr">
        <is>
          <t>EUR</t>
        </is>
      </c>
      <c r="C35" s="15" t="inlineStr">
        <is>
          <t>EUR</t>
        </is>
      </c>
      <c r="D35" s="14" t="n"/>
      <c r="E35" s="14" t="n"/>
      <c r="F35" s="14" t="n"/>
      <c r="G35" s="14" t="n"/>
      <c r="H35" s="14" t="n">
        <v>0.9</v>
      </c>
    </row>
    <row r="36">
      <c r="A36" s="14" t="inlineStr">
        <is>
          <t>MWO CBRE SPA (ITALY) CBRE_090724.pdf</t>
        </is>
      </c>
      <c r="B36" s="14" t="inlineStr">
        <is>
          <t>EUR</t>
        </is>
      </c>
      <c r="C36" s="15" t="inlineStr">
        <is>
          <t>EUR</t>
        </is>
      </c>
      <c r="D36" s="14" t="n"/>
      <c r="E36" s="14" t="n"/>
      <c r="F36" s="14" t="n"/>
      <c r="G36" s="14" t="n"/>
      <c r="H36" s="14" t="n">
        <v>1</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EUR</t>
        </is>
      </c>
      <c r="C2" s="15" t="inlineStr">
        <is>
          <t>EUR</t>
        </is>
      </c>
      <c r="D2" s="14" t="n"/>
      <c r="E2" s="14" t="n"/>
      <c r="F2" s="14" t="n"/>
      <c r="G2" s="14" t="n"/>
      <c r="H2" s="14" t="n">
        <v>1</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EUR</t>
        </is>
      </c>
      <c r="C4" s="15" t="inlineStr">
        <is>
          <t>EUR</t>
        </is>
      </c>
      <c r="D4" s="14" t="n"/>
      <c r="E4" s="14" t="n"/>
      <c r="F4" s="14" t="n"/>
      <c r="G4" s="14" t="n"/>
      <c r="H4" s="14" t="n">
        <v>0.9530892448512585</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EUR</t>
        </is>
      </c>
      <c r="C5" s="15" t="inlineStr">
        <is>
          <t>EUR</t>
        </is>
      </c>
      <c r="D5" s="14" t="n"/>
      <c r="E5" s="14" t="n"/>
      <c r="F5" s="14" t="n"/>
      <c r="G5" s="14" t="n"/>
      <c r="H5" s="14" t="n">
        <v>0.955435708203236</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EUR</t>
        </is>
      </c>
      <c r="C7" s="15" t="inlineStr">
        <is>
          <t>EUR</t>
        </is>
      </c>
      <c r="D7" s="14" t="n"/>
      <c r="E7" s="14" t="n"/>
      <c r="F7" s="14" t="n"/>
      <c r="G7" s="14" t="n"/>
      <c r="H7" s="14" t="n">
        <v>0.955435708203236</v>
      </c>
      <c r="K7" s="17" t="inlineStr">
        <is>
          <t>Total Docs Tested</t>
        </is>
      </c>
      <c r="L7" s="19">
        <f>COUNTA(A2:A36)</f>
        <v/>
      </c>
      <c r="N7" s="17" t="inlineStr">
        <is>
          <t>Total Docs Tested</t>
        </is>
      </c>
      <c r="O7" s="19">
        <f>COUNTA(A2:A36)</f>
        <v/>
      </c>
    </row>
    <row r="8">
      <c r="A8" s="14" t="inlineStr">
        <is>
          <t>20260629 HOK ADHDcentraal BV (1).pdf</t>
        </is>
      </c>
      <c r="B8" s="14" t="inlineStr">
        <is>
          <t>EUR</t>
        </is>
      </c>
      <c r="C8" s="15" t="inlineStr">
        <is>
          <t>EUR</t>
        </is>
      </c>
      <c r="D8" s="14" t="n"/>
      <c r="E8" s="14" t="n"/>
      <c r="F8" s="14" t="n"/>
      <c r="G8" s="14" t="n"/>
      <c r="H8" s="14" t="n">
        <v>0.9530892448512585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EUR</t>
        </is>
      </c>
      <c r="C10" s="15" t="inlineStr">
        <is>
          <t>EUR</t>
        </is>
      </c>
      <c r="D10" s="14" t="n"/>
      <c r="E10" s="14" t="n"/>
      <c r="F10" s="14" t="n"/>
      <c r="G10" s="14" t="n"/>
      <c r="H10" s="14" t="n">
        <v>0.9458272327964862</v>
      </c>
      <c r="K10" s="20" t="inlineStr">
        <is>
          <t>Highlighted rows = file(s) not in the annotation sheet; excluded from all metrics above.</t>
        </is>
      </c>
    </row>
    <row r="11">
      <c r="A11" s="14" t="inlineStr">
        <is>
          <t>20270801 - Getekende Allonge II Advario BV.pdf</t>
        </is>
      </c>
      <c r="B11" s="14" t="inlineStr">
        <is>
          <t>EUR</t>
        </is>
      </c>
      <c r="C11" s="15" t="inlineStr">
        <is>
          <t>EUR</t>
        </is>
      </c>
      <c r="D11" s="14" t="n"/>
      <c r="E11" s="14" t="n"/>
      <c r="F11" s="14" t="n"/>
      <c r="G11" s="14" t="n"/>
      <c r="H11" s="14" t="n">
        <v>1</v>
      </c>
      <c r="K11" s="17" t="inlineStr">
        <is>
          <t>Validation Rules Example</t>
        </is>
      </c>
    </row>
    <row r="12">
      <c r="A12" s="14" t="inlineStr">
        <is>
          <t>240119 HOVK Spoorlaan 446-448 Tilburg signed.pdf</t>
        </is>
      </c>
      <c r="B12" s="14" t="inlineStr">
        <is>
          <t>EUR</t>
        </is>
      </c>
      <c r="C12" s="15" t="inlineStr">
        <is>
          <t>EUR</t>
        </is>
      </c>
      <c r="D12" s="14" t="n"/>
      <c r="E12" s="14" t="n"/>
      <c r="F12" s="14" t="n"/>
      <c r="G12" s="14" t="n"/>
      <c r="H12" s="14" t="n">
        <v>1</v>
      </c>
      <c r="K12" s="16" t="inlineStr">
        <is>
          <t>Manual Data</t>
        </is>
      </c>
      <c r="L12" s="16" t="inlineStr">
        <is>
          <t>Response Data</t>
        </is>
      </c>
      <c r="M12" s="16" t="inlineStr">
        <is>
          <t>Result</t>
        </is>
      </c>
    </row>
    <row r="13">
      <c r="A13" s="14" t="inlineStr">
        <is>
          <t>27001 Rijksvastgoedbedrijf Huurovereenkomst - __27-01-2026_9-07-56.pdf</t>
        </is>
      </c>
      <c r="B13" s="14" t="inlineStr">
        <is>
          <t>EUR</t>
        </is>
      </c>
      <c r="C13" s="15" t="inlineStr">
        <is>
          <t>EUR</t>
        </is>
      </c>
      <c r="D13" s="14" t="n"/>
      <c r="E13" s="14" t="n"/>
      <c r="F13" s="14" t="n"/>
      <c r="G13" s="14" t="n"/>
      <c r="H13" s="14" t="n">
        <v>0.955435708203236</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EUR</t>
        </is>
      </c>
      <c r="C16" s="15" t="inlineStr">
        <is>
          <t>EUR</t>
        </is>
      </c>
      <c r="D16" s="14" t="n"/>
      <c r="E16" s="14" t="n"/>
      <c r="F16" s="14" t="n"/>
      <c r="G16" s="14" t="n"/>
      <c r="H16" s="14" t="n">
        <v>0.9189189189189189</v>
      </c>
      <c r="K16" t="n">
        <v>100</v>
      </c>
      <c r="M16" t="inlineStr">
        <is>
          <t>FN</t>
        </is>
      </c>
    </row>
    <row r="17">
      <c r="A17" s="14" t="inlineStr">
        <is>
          <t>COMPL Huurovereenkomst - Stichting CCE - Kantoorgebouw Metzpoint I Dr. Holtroplaan - Fully Signed.pdf</t>
        </is>
      </c>
      <c r="B17" s="14" t="inlineStr">
        <is>
          <t>EUR</t>
        </is>
      </c>
      <c r="C17" s="15" t="inlineStr">
        <is>
          <t>EUR</t>
        </is>
      </c>
      <c r="D17" s="14" t="n"/>
      <c r="E17" s="14" t="n"/>
      <c r="F17" s="14" t="n"/>
      <c r="G17" s="14" t="n"/>
      <c r="H17" s="14" t="n">
        <v>1</v>
      </c>
      <c r="M17" t="inlineStr">
        <is>
          <t>TN</t>
        </is>
      </c>
    </row>
    <row r="18">
      <c r="A18" s="14" t="inlineStr">
        <is>
          <t>COMPL Regel Partners - HOVK - Luchthavenweg 81 - 20260728.pdf</t>
        </is>
      </c>
      <c r="B18" s="14" t="inlineStr">
        <is>
          <t>EUR</t>
        </is>
      </c>
      <c r="C18" s="15" t="inlineStr">
        <is>
          <t>EUR</t>
        </is>
      </c>
      <c r="D18" s="14" t="n"/>
      <c r="E18" s="14" t="n"/>
      <c r="F18" s="14" t="n"/>
      <c r="G18" s="14" t="n"/>
      <c r="H18" s="14" t="n">
        <v>0.9189189189189189</v>
      </c>
    </row>
    <row r="19">
      <c r="A19" s="14" t="inlineStr">
        <is>
          <t>COMPL_-_Onderhuurovereenkomst_Zelfstroom_B.V._-_50five_B.V._-_kantoorgebouw_Riva_-_05032026.pdf</t>
        </is>
      </c>
      <c r="B19" s="14" t="inlineStr">
        <is>
          <t>EUR</t>
        </is>
      </c>
      <c r="C19" s="15" t="inlineStr">
        <is>
          <t>EUR</t>
        </is>
      </c>
      <c r="D19" s="14" t="n"/>
      <c r="E19" s="14" t="n"/>
      <c r="F19" s="14" t="n"/>
      <c r="G19" s="14" t="n"/>
      <c r="H19" s="14" t="n">
        <v>0.955435708203236</v>
      </c>
      <c r="K19" s="17" t="inlineStr">
        <is>
          <t>Field:</t>
        </is>
      </c>
      <c r="L19" t="inlineStr">
        <is>
          <t>Terms / Ref_cost_per_reserved_parking_space_uom_desc</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inlineStr">
        <is>
          <t>EUR</t>
        </is>
      </c>
      <c r="C21" s="15" t="inlineStr">
        <is>
          <t>EUR</t>
        </is>
      </c>
      <c r="D21" s="14" t="n"/>
      <c r="E21" s="14" t="n"/>
      <c r="F21" s="14" t="n"/>
      <c r="G21" s="14" t="n"/>
      <c r="H21" s="14" t="n">
        <v>0.9189189189189189</v>
      </c>
    </row>
    <row r="22">
      <c r="A22" s="14" t="inlineStr">
        <is>
          <t>FULLY SIGNED - DEF_COMPL_Huurovereenkomst_Robo_Charge_-_Campus_Offices_-_20260220.pdf</t>
        </is>
      </c>
      <c r="B22" s="14" t="inlineStr">
        <is>
          <t>EUR</t>
        </is>
      </c>
      <c r="C22" s="15" t="inlineStr">
        <is>
          <t>EUR</t>
        </is>
      </c>
      <c r="D22" s="14" t="n"/>
      <c r="E22" s="14" t="n"/>
      <c r="F22" s="14" t="n"/>
      <c r="G22" s="14" t="n"/>
      <c r="H22" s="14" t="n">
        <v>0.9189189189189189</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inlineStr">
        <is>
          <t>EUR</t>
        </is>
      </c>
      <c r="C24" s="15" t="inlineStr">
        <is>
          <t>EUR</t>
        </is>
      </c>
      <c r="D24" s="14" t="n"/>
      <c r="E24" s="14" t="n"/>
      <c r="F24" s="14" t="n"/>
      <c r="G24" s="14" t="n"/>
      <c r="H24" s="14" t="n">
        <v>0.9189189189189189</v>
      </c>
    </row>
    <row r="25">
      <c r="A25" s="14" t="inlineStr">
        <is>
          <t>FullySigned_Allonge_II_Virtual_Vaults_Nederland.pdf</t>
        </is>
      </c>
      <c r="B25" s="14" t="inlineStr">
        <is>
          <t>EUR</t>
        </is>
      </c>
      <c r="C25" s="15" t="inlineStr">
        <is>
          <t>EUR</t>
        </is>
      </c>
      <c r="D25" s="14" t="n"/>
      <c r="E25" s="14" t="n"/>
      <c r="F25" s="14" t="n"/>
      <c r="G25" s="14" t="n"/>
      <c r="H25" s="14" t="n">
        <v>0.955435708203236</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inlineStr">
        <is>
          <t>EUR</t>
        </is>
      </c>
      <c r="C27" s="15" t="inlineStr">
        <is>
          <t>EUR</t>
        </is>
      </c>
      <c r="D27" s="14" t="n"/>
      <c r="E27" s="14" t="n"/>
      <c r="F27" s="14" t="n"/>
      <c r="G27" s="14" t="n"/>
      <c r="H27" s="14" t="n">
        <v>0.955435708203236</v>
      </c>
    </row>
    <row r="28">
      <c r="A28" s="14" t="inlineStr">
        <is>
          <t>Hovk Avans  (3e+4e+5e verd.) 20140425.pdf</t>
        </is>
      </c>
      <c r="B28" s="14" t="n"/>
      <c r="C28" s="15" t="n"/>
      <c r="D28" s="14" t="n"/>
      <c r="E28" s="14" t="n"/>
      <c r="F28" s="14" t="n"/>
      <c r="G28" s="14" t="n"/>
      <c r="H28" s="14" t="n"/>
    </row>
    <row r="29">
      <c r="A29" s="14" t="inlineStr">
        <is>
          <t>HOVK Power4People 2025.pdf</t>
        </is>
      </c>
      <c r="B29" s="14" t="inlineStr">
        <is>
          <t>EUR</t>
        </is>
      </c>
      <c r="C29" s="15" t="inlineStr">
        <is>
          <t>EUR</t>
        </is>
      </c>
      <c r="D29" s="14" t="n"/>
      <c r="E29" s="14" t="n"/>
      <c r="F29" s="14" t="n"/>
      <c r="G29" s="14" t="n"/>
      <c r="H29" s="14" t="n">
        <v>0.9296636085626911</v>
      </c>
    </row>
    <row r="30">
      <c r="A30" s="14" t="inlineStr">
        <is>
          <t>Huurovereenkomst (Semmie Group B.V.) - Wilhelminasingel 19, Breda.pdf</t>
        </is>
      </c>
      <c r="B30" s="14" t="inlineStr">
        <is>
          <t>EUR</t>
        </is>
      </c>
      <c r="C30" s="15" t="inlineStr">
        <is>
          <t>EUR</t>
        </is>
      </c>
      <c r="D30" s="14" t="n"/>
      <c r="E30" s="14" t="n"/>
      <c r="F30" s="14" t="n"/>
      <c r="G30" s="14" t="n"/>
      <c r="H30" s="14" t="n">
        <v>1</v>
      </c>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inlineStr">
        <is>
          <t>EUR</t>
        </is>
      </c>
      <c r="C32" s="15" t="inlineStr">
        <is>
          <t>EUR</t>
        </is>
      </c>
      <c r="D32" s="14" t="n"/>
      <c r="E32" s="14" t="n"/>
      <c r="F32" s="14" t="n"/>
      <c r="G32" s="14" t="n"/>
      <c r="H32" s="14" t="n">
        <v>0.955435708203236</v>
      </c>
    </row>
    <row r="33">
      <c r="A33" s="14" t="inlineStr">
        <is>
          <t>Huurovereenkomst Catena Pand Son - Skymark (Son en Breugel - NLD).pdf</t>
        </is>
      </c>
      <c r="B33" s="14" t="inlineStr">
        <is>
          <t>EUR</t>
        </is>
      </c>
      <c r="C33" s="15" t="inlineStr">
        <is>
          <t>EUR</t>
        </is>
      </c>
      <c r="D33" s="14" t="n"/>
      <c r="E33" s="14" t="n"/>
      <c r="F33" s="14" t="n"/>
      <c r="G33" s="14" t="n"/>
      <c r="H33" s="14" t="n">
        <v>1</v>
      </c>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inlineStr">
        <is>
          <t>EUR</t>
        </is>
      </c>
      <c r="C35" s="15" t="inlineStr">
        <is>
          <t>EUR</t>
        </is>
      </c>
      <c r="D35" s="14" t="n"/>
      <c r="E35" s="14" t="n"/>
      <c r="F35" s="14" t="n"/>
      <c r="G35" s="14" t="n"/>
      <c r="H35" s="14" t="n">
        <v>0.955435708203236</v>
      </c>
    </row>
    <row r="36">
      <c r="A36" s="14" t="inlineStr">
        <is>
          <t>MWO CBRE SPA (ITALY) CBRE_090724.pdf</t>
        </is>
      </c>
      <c r="B36" s="14" t="inlineStr">
        <is>
          <t>EUR</t>
        </is>
      </c>
      <c r="C36" s="15" t="inlineStr">
        <is>
          <t>EUR</t>
        </is>
      </c>
      <c r="D36" s="14" t="n"/>
      <c r="E36" s="14" t="n"/>
      <c r="F36" s="14" t="n"/>
      <c r="G36" s="14" t="n"/>
      <c r="H36" s="14" t="n">
        <v>1</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EUR</t>
        </is>
      </c>
      <c r="C2" s="15" t="inlineStr">
        <is>
          <t>EUR</t>
        </is>
      </c>
      <c r="D2" s="14" t="n"/>
      <c r="E2" s="14" t="n"/>
      <c r="F2" s="14" t="n"/>
      <c r="G2" s="14" t="n"/>
      <c r="H2" s="14" t="n">
        <v>0.9343768813967489</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EUR</t>
        </is>
      </c>
      <c r="C3" s="15" t="inlineStr">
        <is>
          <t>EUR</t>
        </is>
      </c>
      <c r="D3" s="14" t="n"/>
      <c r="E3" s="14" t="n"/>
      <c r="F3" s="14" t="n"/>
      <c r="G3" s="14" t="n"/>
      <c r="H3" s="14" t="n">
        <v>0.9209302325581395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EUR</t>
        </is>
      </c>
      <c r="C4" s="15" t="inlineStr">
        <is>
          <t>EUR</t>
        </is>
      </c>
      <c r="D4" s="14" t="n"/>
      <c r="E4" s="14" t="n"/>
      <c r="F4" s="14" t="n"/>
      <c r="G4" s="14" t="n"/>
      <c r="H4" s="14" t="n">
        <v>0.9389448725548312</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EUR</t>
        </is>
      </c>
      <c r="C5" s="15" t="inlineStr">
        <is>
          <t>EUR</t>
        </is>
      </c>
      <c r="D5" s="14" t="n"/>
      <c r="E5" s="14" t="n"/>
      <c r="F5" s="14" t="n"/>
      <c r="G5" s="14" t="n"/>
      <c r="H5" s="14" t="n">
        <v>1</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EUR</t>
        </is>
      </c>
      <c r="C6" s="15" t="inlineStr">
        <is>
          <t>EUR</t>
        </is>
      </c>
      <c r="D6" s="14" t="n"/>
      <c r="E6" s="14" t="n"/>
      <c r="F6" s="14" t="n"/>
      <c r="G6" s="14" t="n"/>
      <c r="H6" s="14" t="n">
        <v>0.888888888888889</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EUR</t>
        </is>
      </c>
      <c r="C7" s="15" t="inlineStr">
        <is>
          <t>EUR</t>
        </is>
      </c>
      <c r="D7" s="14" t="n"/>
      <c r="E7" s="14" t="n"/>
      <c r="F7" s="14" t="n"/>
      <c r="G7" s="14" t="n"/>
      <c r="H7" s="14" t="n">
        <v>0.888888888888889</v>
      </c>
      <c r="K7" s="17" t="inlineStr">
        <is>
          <t>Total Docs Tested</t>
        </is>
      </c>
      <c r="L7" s="19">
        <f>COUNTA(A2:A36)</f>
        <v/>
      </c>
      <c r="N7" s="17" t="inlineStr">
        <is>
          <t>Total Docs Tested</t>
        </is>
      </c>
      <c r="O7" s="19">
        <f>COUNTA(A2:A36)</f>
        <v/>
      </c>
    </row>
    <row r="8">
      <c r="A8" s="14" t="inlineStr">
        <is>
          <t>20260629 HOK ADHDcentraal BV (1).pdf</t>
        </is>
      </c>
      <c r="B8" s="14" t="inlineStr">
        <is>
          <t>EUR</t>
        </is>
      </c>
      <c r="C8" s="15" t="inlineStr">
        <is>
          <t>EUR</t>
        </is>
      </c>
      <c r="D8" s="14" t="n"/>
      <c r="E8" s="14" t="n"/>
      <c r="F8" s="14" t="n"/>
      <c r="G8" s="14" t="n"/>
      <c r="H8" s="14" t="n">
        <v>0.9389448725548312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EUR</t>
        </is>
      </c>
      <c r="C9" s="15" t="inlineStr">
        <is>
          <t>EUR</t>
        </is>
      </c>
      <c r="D9" s="14" t="n"/>
      <c r="E9" s="14" t="n"/>
      <c r="F9" s="14" t="n"/>
      <c r="G9" s="14" t="n"/>
      <c r="H9" s="14" t="n">
        <v>0.9389448725548312</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EUR</t>
        </is>
      </c>
      <c r="C10" s="15" t="inlineStr">
        <is>
          <t>EUR</t>
        </is>
      </c>
      <c r="D10" s="14" t="n"/>
      <c r="E10" s="14" t="n"/>
      <c r="F10" s="14" t="n"/>
      <c r="G10" s="14" t="n"/>
      <c r="H10" s="14" t="n">
        <v>0.9389448725548312</v>
      </c>
      <c r="K10" s="20" t="inlineStr">
        <is>
          <t>Highlighted rows = file(s) not in the annotation sheet; excluded from all metrics above.</t>
        </is>
      </c>
    </row>
    <row r="11">
      <c r="A11" s="14" t="inlineStr">
        <is>
          <t>20270801 - Getekende Allonge II Advario BV.pdf</t>
        </is>
      </c>
      <c r="B11" s="14" t="inlineStr">
        <is>
          <t>EUR</t>
        </is>
      </c>
      <c r="C11" s="15" t="inlineStr">
        <is>
          <t>EUR</t>
        </is>
      </c>
      <c r="D11" s="14" t="n"/>
      <c r="E11" s="14" t="n"/>
      <c r="F11" s="14" t="n"/>
      <c r="G11" s="14" t="n"/>
      <c r="H11" s="14" t="n">
        <v>0.9389448725548312</v>
      </c>
      <c r="K11" s="17" t="inlineStr">
        <is>
          <t>Validation Rules Example</t>
        </is>
      </c>
    </row>
    <row r="12">
      <c r="A12" s="14" t="inlineStr">
        <is>
          <t>240119 HOVK Spoorlaan 446-448 Tilburg signed.pdf</t>
        </is>
      </c>
      <c r="B12" s="14" t="inlineStr">
        <is>
          <t>EUR</t>
        </is>
      </c>
      <c r="C12" s="15" t="inlineStr">
        <is>
          <t>EUR</t>
        </is>
      </c>
      <c r="D12" s="14" t="n"/>
      <c r="E12" s="14" t="n"/>
      <c r="F12" s="14" t="n"/>
      <c r="G12" s="14" t="n"/>
      <c r="H12" s="14" t="n">
        <v>0.888888888888889</v>
      </c>
      <c r="K12" s="16" t="inlineStr">
        <is>
          <t>Manual Data</t>
        </is>
      </c>
      <c r="L12" s="16" t="inlineStr">
        <is>
          <t>Response Data</t>
        </is>
      </c>
      <c r="M12" s="16" t="inlineStr">
        <is>
          <t>Result</t>
        </is>
      </c>
    </row>
    <row r="13">
      <c r="A13" s="14" t="inlineStr">
        <is>
          <t>27001 Rijksvastgoedbedrijf Huurovereenkomst - __27-01-2026_9-07-56.pdf</t>
        </is>
      </c>
      <c r="B13" s="14" t="inlineStr">
        <is>
          <t>EUR</t>
        </is>
      </c>
      <c r="C13" s="15" t="inlineStr">
        <is>
          <t>EUR</t>
        </is>
      </c>
      <c r="D13" s="14" t="n"/>
      <c r="E13" s="14" t="n"/>
      <c r="F13" s="14" t="n"/>
      <c r="G13" s="14" t="n"/>
      <c r="H13" s="14" t="n">
        <v>0.9389448725548312</v>
      </c>
      <c r="K13" t="n">
        <v>100</v>
      </c>
      <c r="L13" t="n">
        <v>100</v>
      </c>
      <c r="M13" t="inlineStr">
        <is>
          <t>TP</t>
        </is>
      </c>
    </row>
    <row r="14">
      <c r="A14" s="14" t="inlineStr">
        <is>
          <t>CBRE_AT_Services_ENG_-_RITUALS_CBRE signed.pdf</t>
        </is>
      </c>
      <c r="B14" s="14" t="inlineStr">
        <is>
          <t>EUR</t>
        </is>
      </c>
      <c r="C14" s="15" t="inlineStr">
        <is>
          <t>EUR</t>
        </is>
      </c>
      <c r="D14" s="14" t="n"/>
      <c r="E14" s="14" t="n"/>
      <c r="F14" s="14" t="n"/>
      <c r="G14" s="14" t="n"/>
      <c r="H14" s="14" t="n">
        <v>1</v>
      </c>
      <c r="L14" t="n">
        <v>100</v>
      </c>
      <c r="M14" t="inlineStr">
        <is>
          <t>FP</t>
        </is>
      </c>
    </row>
    <row r="15">
      <c r="A15" s="14" t="inlineStr">
        <is>
          <t>CBRE_Engagement_Letter_Alnylam_20260525_CLEAN_Version_signed all.pdf</t>
        </is>
      </c>
      <c r="B15" s="14" t="inlineStr">
        <is>
          <t>EUR</t>
        </is>
      </c>
      <c r="C15" s="15" t="inlineStr">
        <is>
          <t>EUR</t>
        </is>
      </c>
      <c r="D15" s="14" t="n"/>
      <c r="E15" s="14" t="n"/>
      <c r="F15" s="14" t="n"/>
      <c r="G15" s="14" t="n"/>
      <c r="H15" s="14" t="n">
        <v>0.9296636085626911</v>
      </c>
      <c r="K15" t="n">
        <v>100</v>
      </c>
      <c r="L15" t="n">
        <v>200</v>
      </c>
      <c r="M15" t="inlineStr">
        <is>
          <t>FP</t>
        </is>
      </c>
    </row>
    <row r="16">
      <c r="A16" s="14" t="inlineStr">
        <is>
          <t>COMPL DEF Huurovereenkomst - Skybox - Pepperl+Fuchs - 20260204.pdf</t>
        </is>
      </c>
      <c r="B16" s="14" t="inlineStr">
        <is>
          <t>EUR</t>
        </is>
      </c>
      <c r="C16" s="15" t="inlineStr">
        <is>
          <t>EUR</t>
        </is>
      </c>
      <c r="D16" s="14" t="n"/>
      <c r="E16" s="14" t="n"/>
      <c r="F16" s="14" t="n"/>
      <c r="G16" s="14" t="n"/>
      <c r="H16" s="14" t="n">
        <v>0.9</v>
      </c>
      <c r="K16" t="n">
        <v>100</v>
      </c>
      <c r="M16" t="inlineStr">
        <is>
          <t>FN</t>
        </is>
      </c>
    </row>
    <row r="17">
      <c r="A17" s="14" t="inlineStr">
        <is>
          <t>COMPL Huurovereenkomst - Stichting CCE - Kantoorgebouw Metzpoint I Dr. Holtroplaan - Fully Signed.pdf</t>
        </is>
      </c>
      <c r="B17" s="14" t="inlineStr">
        <is>
          <t>EUR</t>
        </is>
      </c>
      <c r="C17" s="15" t="inlineStr">
        <is>
          <t>EUR</t>
        </is>
      </c>
      <c r="D17" s="14" t="n"/>
      <c r="E17" s="14" t="n"/>
      <c r="F17" s="14" t="n"/>
      <c r="G17" s="14" t="n"/>
      <c r="H17" s="14" t="n">
        <v>0.9389448725548312</v>
      </c>
      <c r="M17" t="inlineStr">
        <is>
          <t>TN</t>
        </is>
      </c>
    </row>
    <row r="18">
      <c r="A18" s="14" t="inlineStr">
        <is>
          <t>COMPL Regel Partners - HOVK - Luchthavenweg 81 - 20260728.pdf</t>
        </is>
      </c>
      <c r="B18" s="14" t="inlineStr">
        <is>
          <t>EUR</t>
        </is>
      </c>
      <c r="C18" s="15" t="inlineStr">
        <is>
          <t>EUR</t>
        </is>
      </c>
      <c r="D18" s="14" t="n"/>
      <c r="E18" s="14" t="n"/>
      <c r="F18" s="14" t="n"/>
      <c r="G18" s="14" t="n"/>
      <c r="H18" s="14" t="n">
        <v>0.9389448725548312</v>
      </c>
    </row>
    <row r="19">
      <c r="A19" s="14" t="inlineStr">
        <is>
          <t>COMPL_-_Onderhuurovereenkomst_Zelfstroom_B.V._-_50five_B.V._-_kantoorgebouw_Riva_-_05032026.pdf</t>
        </is>
      </c>
      <c r="B19" s="14" t="inlineStr">
        <is>
          <t>EUR</t>
        </is>
      </c>
      <c r="C19" s="15" t="inlineStr">
        <is>
          <t>EUR</t>
        </is>
      </c>
      <c r="D19" s="14" t="n"/>
      <c r="E19" s="14" t="n"/>
      <c r="F19" s="14" t="n"/>
      <c r="G19" s="14" t="n"/>
      <c r="H19" s="14" t="n">
        <v>0.9389448725548312</v>
      </c>
      <c r="K19" s="17" t="inlineStr">
        <is>
          <t>Field:</t>
        </is>
      </c>
      <c r="L19" t="inlineStr">
        <is>
          <t>Terms / Ref_effective_rent_monthly_uom_desc</t>
        </is>
      </c>
    </row>
    <row r="20">
      <c r="A20" s="14" t="inlineStr">
        <is>
          <t>Den Bosch, Ruwekampweg 4, HOVK getekend.pdf</t>
        </is>
      </c>
      <c r="B20" s="14" t="inlineStr">
        <is>
          <t>EUR</t>
        </is>
      </c>
      <c r="C20" s="15" t="inlineStr">
        <is>
          <t>EUR</t>
        </is>
      </c>
      <c r="D20" s="14" t="n"/>
      <c r="E20" s="14" t="n"/>
      <c r="F20" s="14" t="n"/>
      <c r="G20" s="14" t="n"/>
      <c r="H20" s="14" t="n">
        <v>0.888888888888889</v>
      </c>
    </row>
    <row r="21">
      <c r="A21" s="14" t="inlineStr">
        <is>
          <t>FULLY SIGNED - COMPL Huurovereenkomst - Heijmans - Hugo de Grootlaan 23 's-Hertogenbosch V2 30-9-2025.pdf</t>
        </is>
      </c>
      <c r="B21" s="14" t="inlineStr">
        <is>
          <t>EUR</t>
        </is>
      </c>
      <c r="C21" s="15" t="inlineStr">
        <is>
          <t>EUR</t>
        </is>
      </c>
      <c r="D21" s="14" t="n"/>
      <c r="E21" s="14" t="n"/>
      <c r="F21" s="14" t="n"/>
      <c r="G21" s="14" t="n"/>
      <c r="H21" s="14" t="n">
        <v>0.9343768813967489</v>
      </c>
    </row>
    <row r="22" ht="409.6" customHeight="1">
      <c r="A22" s="14" t="inlineStr">
        <is>
          <t>FULLY SIGNED - DEF_COMPL_Huurovereenkomst_Robo_Charge_-_Campus_Offices_-_20260220.pdf</t>
        </is>
      </c>
      <c r="B22" s="14" t="inlineStr">
        <is>
          <t>{
    "text": "EUR",
    "header": {},
    "footer": {},
    "highlight": "de huurprijs \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t>
        </is>
      </c>
      <c r="C22" s="15" t="inlineStr">
        <is>
          <t>{
    "text": "EUR",
    "header": {},
    "footer": {},
    "highlight": "de huurprijs \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2001\u2</t>
        </is>
      </c>
      <c r="D22" s="14" t="n"/>
      <c r="E22" s="14" t="n"/>
      <c r="F22" s="14" t="n"/>
      <c r="G22" s="14" t="n"/>
      <c r="H22" s="14" t="n">
        <v>0.9229269973973666</v>
      </c>
    </row>
    <row r="23">
      <c r="A23" s="14" t="inlineStr">
        <is>
          <t>FULLY SIGNED - Onderhuurovereenkomst Aartshertogenlaan 223, `s-Hertogenbosch - Koning Willem I College B.V. 2606202.pdf</t>
        </is>
      </c>
      <c r="B23" s="14" t="inlineStr">
        <is>
          <t>EUR</t>
        </is>
      </c>
      <c r="C23" s="15" t="inlineStr">
        <is>
          <t>EUR</t>
        </is>
      </c>
      <c r="D23" s="14" t="n"/>
      <c r="E23" s="14" t="n"/>
      <c r="F23" s="14" t="n"/>
      <c r="G23" s="14" t="n"/>
      <c r="H23" s="14" t="n">
        <v>0.9389448725548312</v>
      </c>
    </row>
    <row r="24">
      <c r="A24" s="14" t="inlineStr">
        <is>
          <t>FULLY SIGNED COMPL_DEF_Huurovereenkomst_Bond_Bergschot_Breda.pdf</t>
        </is>
      </c>
      <c r="B24" s="14" t="inlineStr">
        <is>
          <t>EUR</t>
        </is>
      </c>
      <c r="C24" s="15" t="inlineStr">
        <is>
          <t>EUR</t>
        </is>
      </c>
      <c r="D24" s="14" t="n"/>
      <c r="E24" s="14" t="n"/>
      <c r="F24" s="14" t="n"/>
      <c r="G24" s="14" t="n"/>
      <c r="H24" s="14" t="n">
        <v>0.9389448725548312</v>
      </c>
    </row>
    <row r="25">
      <c r="A25" s="14" t="inlineStr">
        <is>
          <t>FullySigned_Allonge_II_Virtual_Vaults_Nederland.pdf</t>
        </is>
      </c>
      <c r="B25" s="14" t="inlineStr">
        <is>
          <t>EUR</t>
        </is>
      </c>
      <c r="C25" s="15" t="inlineStr">
        <is>
          <t>EUR</t>
        </is>
      </c>
      <c r="D25" s="14" t="n"/>
      <c r="E25" s="14" t="n"/>
      <c r="F25" s="14" t="n"/>
      <c r="G25" s="14" t="n"/>
      <c r="H25" s="14" t="n">
        <v>0.888888888888889</v>
      </c>
    </row>
    <row r="26">
      <c r="A26" s="14" t="inlineStr">
        <is>
          <t>FullySigned_Lease_Agreement_Neste_EDGE_Coolsingel.pdf</t>
        </is>
      </c>
      <c r="B26" s="14" t="inlineStr">
        <is>
          <t>EUR</t>
        </is>
      </c>
      <c r="C26" s="15" t="inlineStr">
        <is>
          <t>EUR</t>
        </is>
      </c>
      <c r="D26" s="14" t="n"/>
      <c r="E26" s="14" t="n"/>
      <c r="F26" s="14" t="n"/>
      <c r="G26" s="14" t="n"/>
      <c r="H26" s="14" t="n">
        <v>0.9389448725548312</v>
      </c>
    </row>
    <row r="27">
      <c r="A27" s="14" t="inlineStr">
        <is>
          <t>HOK Waalhaven Group (signed).pdf</t>
        </is>
      </c>
      <c r="B27" s="14" t="inlineStr">
        <is>
          <t>EUR</t>
        </is>
      </c>
      <c r="C27" s="15" t="inlineStr">
        <is>
          <t>EUR</t>
        </is>
      </c>
      <c r="D27" s="14" t="n"/>
      <c r="E27" s="14" t="n"/>
      <c r="F27" s="14" t="n"/>
      <c r="G27" s="14" t="n"/>
      <c r="H27" s="14" t="n">
        <v>0.9366786140979689</v>
      </c>
    </row>
    <row r="28">
      <c r="A28" s="14" t="inlineStr">
        <is>
          <t>Hovk Avans  (3e+4e+5e verd.) 20140425.pdf</t>
        </is>
      </c>
      <c r="B28" s="14" t="inlineStr">
        <is>
          <t>EUR</t>
        </is>
      </c>
      <c r="C28" s="15" t="inlineStr">
        <is>
          <t>EUR</t>
        </is>
      </c>
      <c r="D28" s="14" t="n"/>
      <c r="E28" s="14" t="n"/>
      <c r="F28" s="14" t="n"/>
      <c r="G28" s="14" t="n"/>
      <c r="H28" s="14" t="n">
        <v>0.9366786140979689</v>
      </c>
    </row>
    <row r="29">
      <c r="A29" s="14" t="inlineStr">
        <is>
          <t>HOVK Power4People 2025.pdf</t>
        </is>
      </c>
      <c r="B29" s="14" t="inlineStr">
        <is>
          <t>EUR</t>
        </is>
      </c>
      <c r="C29" s="15" t="inlineStr">
        <is>
          <t>EUR</t>
        </is>
      </c>
      <c r="D29" s="14" t="n"/>
      <c r="E29" s="14" t="n"/>
      <c r="F29" s="14" t="n"/>
      <c r="G29" s="14" t="n"/>
      <c r="H29" s="14" t="n">
        <v>0.9</v>
      </c>
    </row>
    <row r="30">
      <c r="A30" s="14" t="inlineStr">
        <is>
          <t>Huurovereenkomst (Semmie Group B.V.) - Wilhelminasingel 19, Breda.pdf</t>
        </is>
      </c>
      <c r="B30" s="14" t="inlineStr">
        <is>
          <t>EUR</t>
        </is>
      </c>
      <c r="C30" s="15" t="inlineStr">
        <is>
          <t>EUR</t>
        </is>
      </c>
      <c r="D30" s="14" t="n"/>
      <c r="E30" s="14" t="n"/>
      <c r="F30" s="14" t="n"/>
      <c r="G30" s="14" t="n"/>
      <c r="H30" s="14" t="n">
        <v>0.9366786140979689</v>
      </c>
    </row>
    <row r="31">
      <c r="A31" s="14" t="inlineStr">
        <is>
          <t>Huurovereenkomst - proces-verbaal van oplevering - sleuteloverdracht - Kennedyplein 101 - getekend.pdf</t>
        </is>
      </c>
      <c r="B31" s="14" t="inlineStr">
        <is>
          <t>EUR</t>
        </is>
      </c>
      <c r="C31" s="15" t="inlineStr">
        <is>
          <t>EUR</t>
        </is>
      </c>
      <c r="D31" s="14" t="n"/>
      <c r="E31" s="14" t="n"/>
      <c r="F31" s="14" t="n"/>
      <c r="G31" s="14" t="n"/>
      <c r="H31" s="14" t="n">
        <v>0.9389448725548312</v>
      </c>
    </row>
    <row r="32">
      <c r="A32" s="14" t="inlineStr">
        <is>
          <t>Huurovereenkomst Bijster 5 te Breda getekend.pdf</t>
        </is>
      </c>
      <c r="B32" s="14" t="inlineStr">
        <is>
          <t>EUR</t>
        </is>
      </c>
      <c r="C32" s="15" t="inlineStr">
        <is>
          <t>EUR</t>
        </is>
      </c>
      <c r="D32" s="14" t="n"/>
      <c r="E32" s="14" t="n"/>
      <c r="F32" s="14" t="n"/>
      <c r="G32" s="14" t="n"/>
      <c r="H32" s="14" t="n">
        <v>0.9389448725548312</v>
      </c>
    </row>
    <row r="33">
      <c r="A33" s="14" t="inlineStr">
        <is>
          <t>Huurovereenkomst Catena Pand Son - Skymark (Son en Breugel - NLD).pdf</t>
        </is>
      </c>
      <c r="B33" s="14" t="inlineStr">
        <is>
          <t>EUR</t>
        </is>
      </c>
      <c r="C33" s="15" t="inlineStr">
        <is>
          <t>EUR</t>
        </is>
      </c>
      <c r="D33" s="14" t="n"/>
      <c r="E33" s="14" t="n"/>
      <c r="F33" s="14" t="n"/>
      <c r="G33" s="14" t="n"/>
      <c r="H33" s="14" t="n">
        <v>0.9119999999999999</v>
      </c>
    </row>
    <row r="34">
      <c r="A34" s="14" t="inlineStr">
        <is>
          <t>Huurovereenkomst KPN Opstelpunt Parallelweg 64 20130313.pdf</t>
        </is>
      </c>
      <c r="B34" s="14" t="inlineStr">
        <is>
          <t>EUR</t>
        </is>
      </c>
      <c r="C34" s="15" t="inlineStr">
        <is>
          <t>EUR</t>
        </is>
      </c>
      <c r="D34" s="14" t="n"/>
      <c r="E34" s="14" t="n"/>
      <c r="F34" s="14" t="n"/>
      <c r="G34" s="14" t="n"/>
      <c r="H34" s="14" t="n">
        <v>0.9389448725548312</v>
      </c>
    </row>
    <row r="35">
      <c r="A35" s="14" t="inlineStr">
        <is>
          <t>Huurovereenkomst PBG Parallelweg 64 (beg.grond) 20121008.pdf</t>
        </is>
      </c>
      <c r="B35" s="14" t="inlineStr">
        <is>
          <t>EUR</t>
        </is>
      </c>
      <c r="C35" s="15" t="inlineStr">
        <is>
          <t>EUR</t>
        </is>
      </c>
      <c r="D35" s="14" t="n"/>
      <c r="E35" s="14" t="n"/>
      <c r="F35" s="14" t="n"/>
      <c r="G35" s="14" t="n"/>
      <c r="H35" s="14" t="n">
        <v>0.9389448725548312</v>
      </c>
    </row>
    <row r="36">
      <c r="A36" s="14" t="inlineStr">
        <is>
          <t>MWO CBRE SPA (ITALY) CBRE_090724.pdf</t>
        </is>
      </c>
      <c r="B36" s="14" t="inlineStr">
        <is>
          <t>EUR</t>
        </is>
      </c>
      <c r="C36" s="15" t="inlineStr">
        <is>
          <t>EUR</t>
        </is>
      </c>
      <c r="D36" s="14" t="n"/>
      <c r="E36" s="14" t="n"/>
      <c r="F36" s="14" t="n"/>
      <c r="G36" s="14" t="n"/>
      <c r="H36" s="14" t="n">
        <v>1</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EUR</t>
        </is>
      </c>
      <c r="C2" s="15" t="inlineStr">
        <is>
          <t>EUR</t>
        </is>
      </c>
      <c r="D2" s="14" t="n"/>
      <c r="E2" s="14" t="n"/>
      <c r="F2" s="14" t="n"/>
      <c r="G2" s="14" t="n"/>
      <c r="H2" s="14" t="n">
        <v>0.9389448725548312</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EUR</t>
        </is>
      </c>
      <c r="C3" s="15" t="inlineStr">
        <is>
          <t>EUR</t>
        </is>
      </c>
      <c r="D3" s="14" t="n"/>
      <c r="E3" s="14" t="n"/>
      <c r="F3" s="14" t="n"/>
      <c r="G3" s="14" t="n"/>
      <c r="H3" s="14" t="n">
        <v>0.888888888888889</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EUR</t>
        </is>
      </c>
      <c r="C4" s="15" t="inlineStr">
        <is>
          <t>EUR</t>
        </is>
      </c>
      <c r="D4" s="14" t="n"/>
      <c r="E4" s="14" t="n"/>
      <c r="F4" s="14" t="n"/>
      <c r="G4" s="14" t="n"/>
      <c r="H4" s="14" t="n">
        <v>0.9142857142857143</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EUR</t>
        </is>
      </c>
      <c r="C5" s="15" t="inlineStr">
        <is>
          <t>EUR</t>
        </is>
      </c>
      <c r="D5" s="14" t="n"/>
      <c r="E5" s="14" t="n"/>
      <c r="F5" s="14" t="n"/>
      <c r="G5" s="14" t="n"/>
      <c r="H5" s="14" t="n">
        <v>0.9</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EUR</t>
        </is>
      </c>
      <c r="C6" s="15" t="inlineStr">
        <is>
          <t>EUR</t>
        </is>
      </c>
      <c r="D6" s="14" t="n"/>
      <c r="E6" s="14" t="n"/>
      <c r="F6" s="14" t="n"/>
      <c r="G6" s="14" t="n"/>
      <c r="H6" s="14" t="n">
        <v>0.9389448725548312</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EUR</t>
        </is>
      </c>
      <c r="C7" s="15" t="inlineStr">
        <is>
          <t>EUR</t>
        </is>
      </c>
      <c r="D7" s="14" t="n"/>
      <c r="E7" s="14" t="n"/>
      <c r="F7" s="14" t="n"/>
      <c r="G7" s="14" t="n"/>
      <c r="H7" s="14" t="n">
        <v>0.888888888888889</v>
      </c>
      <c r="K7" s="17" t="inlineStr">
        <is>
          <t>Total Docs Tested</t>
        </is>
      </c>
      <c r="L7" s="19">
        <f>COUNTA(A2:A36)</f>
        <v/>
      </c>
      <c r="N7" s="17" t="inlineStr">
        <is>
          <t>Total Docs Tested</t>
        </is>
      </c>
      <c r="O7" s="19">
        <f>COUNTA(A2:A36)</f>
        <v/>
      </c>
    </row>
    <row r="8">
      <c r="A8" s="14" t="inlineStr">
        <is>
          <t>20260629 HOK ADHDcentraal BV (1).pdf</t>
        </is>
      </c>
      <c r="B8" s="14" t="inlineStr">
        <is>
          <t>EUR</t>
        </is>
      </c>
      <c r="C8" s="15" t="inlineStr">
        <is>
          <t>EUR</t>
        </is>
      </c>
      <c r="D8" s="14" t="n"/>
      <c r="E8" s="14" t="n"/>
      <c r="F8" s="14" t="n"/>
      <c r="G8" s="14" t="n"/>
      <c r="H8" s="14" t="n">
        <v>0.9389448725548312</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EUR</t>
        </is>
      </c>
      <c r="C9" s="15" t="inlineStr">
        <is>
          <t>EUR</t>
        </is>
      </c>
      <c r="D9" s="14" t="n"/>
      <c r="E9" s="14" t="n"/>
      <c r="F9" s="14" t="n"/>
      <c r="G9" s="14" t="n"/>
      <c r="H9" s="14" t="n">
        <v>0.888888888888889</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EUR</t>
        </is>
      </c>
      <c r="C10" s="15" t="inlineStr">
        <is>
          <t>EUR</t>
        </is>
      </c>
      <c r="D10" s="14" t="n"/>
      <c r="E10" s="14" t="n"/>
      <c r="F10" s="14" t="n"/>
      <c r="G10" s="14" t="n"/>
      <c r="H10" s="14" t="n">
        <v>0.9389448725548312</v>
      </c>
      <c r="K10" s="20" t="inlineStr">
        <is>
          <t>Highlighted rows = file(s) not in the annotation sheet; excluded from all metrics above.</t>
        </is>
      </c>
    </row>
    <row r="11">
      <c r="A11" s="14" t="inlineStr">
        <is>
          <t>20270801 - Getekende Allonge II Advario BV.pdf</t>
        </is>
      </c>
      <c r="B11" s="14" t="inlineStr">
        <is>
          <t>EUR</t>
        </is>
      </c>
      <c r="C11" s="15" t="inlineStr">
        <is>
          <t>EUR</t>
        </is>
      </c>
      <c r="D11" s="14" t="n"/>
      <c r="E11" s="14" t="n"/>
      <c r="F11" s="14" t="n"/>
      <c r="G11" s="14" t="n"/>
      <c r="H11" s="14" t="n">
        <v>0.888888888888889</v>
      </c>
      <c r="K11" s="17" t="inlineStr">
        <is>
          <t>Validation Rules Example</t>
        </is>
      </c>
    </row>
    <row r="12">
      <c r="A12" s="14" t="inlineStr">
        <is>
          <t>240119 HOVK Spoorlaan 446-448 Tilburg signed.pdf</t>
        </is>
      </c>
      <c r="B12" s="14" t="inlineStr">
        <is>
          <t>EUR</t>
        </is>
      </c>
      <c r="C12" s="15" t="inlineStr">
        <is>
          <t>EUR</t>
        </is>
      </c>
      <c r="D12" s="14" t="n"/>
      <c r="E12" s="14" t="n"/>
      <c r="F12" s="14" t="n"/>
      <c r="G12" s="14" t="n"/>
      <c r="H12" s="14" t="n">
        <v>0.888888888888889</v>
      </c>
      <c r="K12" s="16" t="inlineStr">
        <is>
          <t>Manual Data</t>
        </is>
      </c>
      <c r="L12" s="16" t="inlineStr">
        <is>
          <t>Response Data</t>
        </is>
      </c>
      <c r="M12" s="16" t="inlineStr">
        <is>
          <t>Result</t>
        </is>
      </c>
    </row>
    <row r="13">
      <c r="A13" s="14" t="inlineStr">
        <is>
          <t>27001 Rijksvastgoedbedrijf Huurovereenkomst - __27-01-2026_9-07-56.pdf</t>
        </is>
      </c>
      <c r="B13" s="14" t="inlineStr">
        <is>
          <t>EUR</t>
        </is>
      </c>
      <c r="C13" s="15" t="inlineStr">
        <is>
          <t>EUR</t>
        </is>
      </c>
      <c r="D13" s="14" t="n"/>
      <c r="E13" s="14" t="n"/>
      <c r="F13" s="14" t="n"/>
      <c r="G13" s="14" t="n"/>
      <c r="H13" s="14" t="n">
        <v>0.888888888888889</v>
      </c>
      <c r="K13" t="n">
        <v>100</v>
      </c>
      <c r="L13" t="n">
        <v>100</v>
      </c>
      <c r="M13" t="inlineStr">
        <is>
          <t>TP</t>
        </is>
      </c>
    </row>
    <row r="14">
      <c r="A14" s="14" t="inlineStr">
        <is>
          <t>CBRE_AT_Services_ENG_-_RITUALS_CBRE signed.pdf</t>
        </is>
      </c>
      <c r="B14" s="14" t="inlineStr">
        <is>
          <t>EUR</t>
        </is>
      </c>
      <c r="C14" s="15" t="inlineStr">
        <is>
          <t>EUR</t>
        </is>
      </c>
      <c r="D14" s="14" t="n"/>
      <c r="E14" s="14" t="n"/>
      <c r="F14" s="14" t="n"/>
      <c r="G14" s="14" t="n"/>
      <c r="H14" s="14" t="n">
        <v>0.9389448725548312</v>
      </c>
      <c r="L14" t="n">
        <v>100</v>
      </c>
      <c r="M14" t="inlineStr">
        <is>
          <t>FP</t>
        </is>
      </c>
    </row>
    <row r="15">
      <c r="A15" s="14" t="inlineStr">
        <is>
          <t>CBRE_Engagement_Letter_Alnylam_20260525_CLEAN_Version_signed all.pdf</t>
        </is>
      </c>
      <c r="B15" s="14" t="inlineStr">
        <is>
          <t>EUR</t>
        </is>
      </c>
      <c r="C15" s="15" t="inlineStr">
        <is>
          <t>EUR</t>
        </is>
      </c>
      <c r="D15" s="14" t="n"/>
      <c r="E15" s="14" t="n"/>
      <c r="F15" s="14" t="n"/>
      <c r="G15" s="14" t="n"/>
      <c r="H15" s="14" t="n">
        <v>1</v>
      </c>
      <c r="K15" t="n">
        <v>100</v>
      </c>
      <c r="L15" t="n">
        <v>200</v>
      </c>
      <c r="M15" t="inlineStr">
        <is>
          <t>FP</t>
        </is>
      </c>
    </row>
    <row r="16">
      <c r="A16" s="14" t="inlineStr">
        <is>
          <t>COMPL DEF Huurovereenkomst - Skybox - Pepperl+Fuchs - 20260204.pdf</t>
        </is>
      </c>
      <c r="B16" s="14" t="inlineStr">
        <is>
          <t>EUR</t>
        </is>
      </c>
      <c r="C16" s="15" t="inlineStr">
        <is>
          <t>EUR</t>
        </is>
      </c>
      <c r="D16" s="14" t="n"/>
      <c r="E16" s="14" t="n"/>
      <c r="F16" s="14" t="n"/>
      <c r="G16" s="14" t="n"/>
      <c r="H16" s="14" t="n">
        <v>0.9209302325581395</v>
      </c>
      <c r="K16" t="n">
        <v>100</v>
      </c>
      <c r="M16" t="inlineStr">
        <is>
          <t>FN</t>
        </is>
      </c>
    </row>
    <row r="17">
      <c r="A17" s="14" t="inlineStr">
        <is>
          <t>COMPL Huurovereenkomst - Stichting CCE - Kantoorgebouw Metzpoint I Dr. Holtroplaan - Fully Signed.pdf</t>
        </is>
      </c>
      <c r="B17" s="14" t="inlineStr">
        <is>
          <t>EUR</t>
        </is>
      </c>
      <c r="C17" s="15" t="inlineStr">
        <is>
          <t>EUR</t>
        </is>
      </c>
      <c r="D17" s="14" t="n"/>
      <c r="E17" s="14" t="n"/>
      <c r="F17" s="14" t="n"/>
      <c r="G17" s="14" t="n"/>
      <c r="H17" s="14" t="n">
        <v>0.888888888888889</v>
      </c>
      <c r="M17" t="inlineStr">
        <is>
          <t>TN</t>
        </is>
      </c>
    </row>
    <row r="18">
      <c r="A18" s="14" t="inlineStr">
        <is>
          <t>COMPL Regel Partners - HOVK - Luchthavenweg 81 - 20260728.pdf</t>
        </is>
      </c>
      <c r="B18" s="14" t="inlineStr">
        <is>
          <t>EUR</t>
        </is>
      </c>
      <c r="C18" s="15" t="inlineStr">
        <is>
          <t>EUR</t>
        </is>
      </c>
      <c r="D18" s="14" t="n"/>
      <c r="E18" s="14" t="n"/>
      <c r="F18" s="14" t="n"/>
      <c r="G18" s="14" t="n"/>
      <c r="H18" s="14" t="n">
        <v>0.888888888888889</v>
      </c>
    </row>
    <row r="19">
      <c r="A19" s="14" t="inlineStr">
        <is>
          <t>COMPL_-_Onderhuurovereenkomst_Zelfstroom_B.V._-_50five_B.V._-_kantoorgebouw_Riva_-_05032026.pdf</t>
        </is>
      </c>
      <c r="B19" s="14" t="inlineStr">
        <is>
          <t>EUR</t>
        </is>
      </c>
      <c r="C19" s="15" t="inlineStr">
        <is>
          <t>EUR</t>
        </is>
      </c>
      <c r="D19" s="14" t="n"/>
      <c r="E19" s="14" t="n"/>
      <c r="F19" s="14" t="n"/>
      <c r="G19" s="14" t="n"/>
      <c r="H19" s="14" t="n">
        <v>0.9389448725548312</v>
      </c>
      <c r="K19" s="17" t="inlineStr">
        <is>
          <t>Field:</t>
        </is>
      </c>
      <c r="L19" t="inlineStr">
        <is>
          <t>Terms / Ref_effective_rent_yearly_uom_desc</t>
        </is>
      </c>
    </row>
    <row r="20">
      <c r="A20" s="14" t="inlineStr">
        <is>
          <t>Den Bosch, Ruwekampweg 4, HOVK getekend.pdf</t>
        </is>
      </c>
      <c r="B20" s="14" t="inlineStr">
        <is>
          <t>EUR</t>
        </is>
      </c>
      <c r="C20" s="15" t="inlineStr">
        <is>
          <t>EUR</t>
        </is>
      </c>
      <c r="D20" s="14" t="n"/>
      <c r="E20" s="14" t="n"/>
      <c r="F20" s="14" t="n"/>
      <c r="G20" s="14" t="n"/>
      <c r="H20" s="14" t="n">
        <v>0.888888888888889</v>
      </c>
    </row>
    <row r="21">
      <c r="A21" s="14" t="inlineStr">
        <is>
          <t>FULLY SIGNED - COMPL Huurovereenkomst - Heijmans - Hugo de Grootlaan 23 's-Hertogenbosch V2 30-9-2025.pdf</t>
        </is>
      </c>
      <c r="B21" s="14" t="inlineStr">
        <is>
          <t>EUR</t>
        </is>
      </c>
      <c r="C21" s="15" t="inlineStr">
        <is>
          <t>EUR</t>
        </is>
      </c>
      <c r="D21" s="14" t="n"/>
      <c r="E21" s="14" t="n"/>
      <c r="F21" s="14" t="n"/>
      <c r="G21" s="14" t="n"/>
      <c r="H21" s="14" t="n">
        <v>0.9389448725548312</v>
      </c>
    </row>
    <row r="22">
      <c r="A22" s="14" t="inlineStr">
        <is>
          <t>FULLY SIGNED - DEF_COMPL_Huurovereenkomst_Robo_Charge_-_Campus_Offices_-_20260220.pdf</t>
        </is>
      </c>
      <c r="B22" s="14" t="inlineStr">
        <is>
          <t>EUR</t>
        </is>
      </c>
      <c r="C22" s="15" t="inlineStr">
        <is>
          <t>EUR</t>
        </is>
      </c>
      <c r="D22" s="14" t="n"/>
      <c r="E22" s="14" t="n"/>
      <c r="F22" s="14" t="n"/>
      <c r="G22" s="14" t="n"/>
      <c r="H22" s="14" t="n">
        <v>0.9389448725548312</v>
      </c>
    </row>
    <row r="23">
      <c r="A23" s="14" t="inlineStr">
        <is>
          <t>FULLY SIGNED - Onderhuurovereenkomst Aartshertogenlaan 223, `s-Hertogenbosch - Koning Willem I College B.V. 2606202.pdf</t>
        </is>
      </c>
      <c r="B23" s="14" t="inlineStr">
        <is>
          <t>EUR</t>
        </is>
      </c>
      <c r="C23" s="15" t="inlineStr">
        <is>
          <t>EUR</t>
        </is>
      </c>
      <c r="D23" s="14" t="n"/>
      <c r="E23" s="14" t="n"/>
      <c r="F23" s="14" t="n"/>
      <c r="G23" s="14" t="n"/>
      <c r="H23" s="14" t="n">
        <v>0.9389448725548312</v>
      </c>
    </row>
    <row r="24">
      <c r="A24" s="14" t="inlineStr">
        <is>
          <t>FULLY SIGNED COMPL_DEF_Huurovereenkomst_Bond_Bergschot_Breda.pdf</t>
        </is>
      </c>
      <c r="B24" s="14" t="inlineStr">
        <is>
          <t>EUR</t>
        </is>
      </c>
      <c r="C24" s="15" t="inlineStr">
        <is>
          <t>EUR</t>
        </is>
      </c>
      <c r="D24" s="14" t="n"/>
      <c r="E24" s="14" t="n"/>
      <c r="F24" s="14" t="n"/>
      <c r="G24" s="14" t="n"/>
      <c r="H24" s="14" t="n">
        <v>0.888888888888889</v>
      </c>
    </row>
    <row r="25">
      <c r="A25" s="14" t="inlineStr">
        <is>
          <t>FullySigned_Allonge_II_Virtual_Vaults_Nederland.pdf</t>
        </is>
      </c>
      <c r="B25" s="14" t="inlineStr">
        <is>
          <t>EUR</t>
        </is>
      </c>
      <c r="C25" s="15" t="inlineStr">
        <is>
          <t>EUR</t>
        </is>
      </c>
      <c r="D25" s="14" t="n"/>
      <c r="E25" s="14" t="n"/>
      <c r="F25" s="14" t="n"/>
      <c r="G25" s="14" t="n"/>
      <c r="H25" s="14" t="n">
        <v>0.888888888888889</v>
      </c>
    </row>
    <row r="26">
      <c r="A26" s="14" t="inlineStr">
        <is>
          <t>FullySigned_Lease_Agreement_Neste_EDGE_Coolsingel.pdf</t>
        </is>
      </c>
      <c r="B26" s="14" t="inlineStr">
        <is>
          <t>EUR</t>
        </is>
      </c>
      <c r="C26" s="15" t="inlineStr">
        <is>
          <t>EUR</t>
        </is>
      </c>
      <c r="D26" s="14" t="n"/>
      <c r="E26" s="14" t="n"/>
      <c r="F26" s="14" t="n"/>
      <c r="G26" s="14" t="n"/>
      <c r="H26" s="14" t="n">
        <v>0.888888888888889</v>
      </c>
    </row>
    <row r="27">
      <c r="A27" s="14" t="inlineStr">
        <is>
          <t>HOK Waalhaven Group (signed).pdf</t>
        </is>
      </c>
      <c r="B27" s="14" t="inlineStr">
        <is>
          <t>EUR</t>
        </is>
      </c>
      <c r="C27" s="15" t="inlineStr">
        <is>
          <t>EUR</t>
        </is>
      </c>
      <c r="D27" s="14" t="n"/>
      <c r="E27" s="14" t="n"/>
      <c r="F27" s="14" t="n"/>
      <c r="G27" s="14" t="n"/>
      <c r="H27" s="14" t="n">
        <v>0.9366786140979689</v>
      </c>
    </row>
    <row r="28">
      <c r="A28" s="14" t="inlineStr">
        <is>
          <t>Hovk Avans  (3e+4e+5e verd.) 20140425.pdf</t>
        </is>
      </c>
      <c r="B28" s="14" t="inlineStr">
        <is>
          <t>EUR</t>
        </is>
      </c>
      <c r="C28" s="15" t="inlineStr">
        <is>
          <t>EUR</t>
        </is>
      </c>
      <c r="D28" s="14" t="n"/>
      <c r="E28" s="14" t="n"/>
      <c r="F28" s="14" t="n"/>
      <c r="G28" s="14" t="n"/>
      <c r="H28" s="14" t="n">
        <v>0.888888888888889</v>
      </c>
    </row>
    <row r="29">
      <c r="A29" s="14" t="inlineStr">
        <is>
          <t>HOVK Power4People 2025.pdf</t>
        </is>
      </c>
      <c r="B29" s="14" t="inlineStr">
        <is>
          <t>EUR</t>
        </is>
      </c>
      <c r="C29" s="15" t="inlineStr">
        <is>
          <t>EUR</t>
        </is>
      </c>
      <c r="D29" s="14" t="n"/>
      <c r="E29" s="14" t="n"/>
      <c r="F29" s="14" t="n"/>
      <c r="G29" s="14" t="n"/>
      <c r="H29" s="14" t="n">
        <v>0.9389448725548312</v>
      </c>
    </row>
    <row r="30">
      <c r="A30" s="14" t="inlineStr">
        <is>
          <t>Huurovereenkomst (Semmie Group B.V.) - Wilhelminasingel 19, Breda.pdf</t>
        </is>
      </c>
      <c r="B30" s="14" t="inlineStr">
        <is>
          <t>EUR</t>
        </is>
      </c>
      <c r="C30" s="15" t="inlineStr">
        <is>
          <t>EUR</t>
        </is>
      </c>
      <c r="D30" s="14" t="n"/>
      <c r="E30" s="14" t="n"/>
      <c r="F30" s="14" t="n"/>
      <c r="G30" s="14" t="n"/>
      <c r="H30" s="14" t="n">
        <v>0.888888888888889</v>
      </c>
    </row>
    <row r="31">
      <c r="A31" s="14" t="inlineStr">
        <is>
          <t>Huurovereenkomst - proces-verbaal van oplevering - sleuteloverdracht - Kennedyplein 101 - getekend.pdf</t>
        </is>
      </c>
      <c r="B31" s="14" t="inlineStr">
        <is>
          <t>EUR</t>
        </is>
      </c>
      <c r="C31" s="15" t="inlineStr">
        <is>
          <t>EUR</t>
        </is>
      </c>
      <c r="D31" s="14" t="n"/>
      <c r="E31" s="14" t="n"/>
      <c r="F31" s="14" t="n"/>
      <c r="G31" s="14" t="n"/>
      <c r="H31" s="14" t="n">
        <v>0.9209302325581395</v>
      </c>
    </row>
    <row r="32">
      <c r="A32" s="14" t="inlineStr">
        <is>
          <t>Huurovereenkomst Bijster 5 te Breda getekend.pdf</t>
        </is>
      </c>
      <c r="B32" s="14" t="inlineStr">
        <is>
          <t>EUR</t>
        </is>
      </c>
      <c r="C32" s="15" t="inlineStr">
        <is>
          <t>EUR</t>
        </is>
      </c>
      <c r="D32" s="14" t="n"/>
      <c r="E32" s="14" t="n"/>
      <c r="F32" s="14" t="n"/>
      <c r="G32" s="14" t="n"/>
      <c r="H32" s="14" t="n">
        <v>0.888888888888889</v>
      </c>
    </row>
    <row r="33">
      <c r="A33" s="14" t="inlineStr">
        <is>
          <t>Huurovereenkomst Catena Pand Son - Skymark (Son en Breugel - NLD).pdf</t>
        </is>
      </c>
      <c r="B33" s="14" t="inlineStr">
        <is>
          <t>EUR</t>
        </is>
      </c>
      <c r="C33" s="15" t="inlineStr">
        <is>
          <t>EUR</t>
        </is>
      </c>
      <c r="D33" s="14" t="n"/>
      <c r="E33" s="14" t="n"/>
      <c r="F33" s="14" t="n"/>
      <c r="G33" s="14" t="n"/>
      <c r="H33" s="14" t="n">
        <v>0.888888888888889</v>
      </c>
    </row>
    <row r="34">
      <c r="A34" s="14" t="inlineStr">
        <is>
          <t>Huurovereenkomst KPN Opstelpunt Parallelweg 64 20130313.pdf</t>
        </is>
      </c>
      <c r="B34" s="14" t="inlineStr">
        <is>
          <t>EUR</t>
        </is>
      </c>
      <c r="C34" s="15" t="inlineStr">
        <is>
          <t>EUR</t>
        </is>
      </c>
      <c r="D34" s="14" t="n"/>
      <c r="E34" s="14" t="n"/>
      <c r="F34" s="14" t="n"/>
      <c r="G34" s="14" t="n"/>
      <c r="H34" s="14" t="n">
        <v>0.888888888888889</v>
      </c>
    </row>
    <row r="35">
      <c r="A35" s="14" t="inlineStr">
        <is>
          <t>Huurovereenkomst PBG Parallelweg 64 (beg.grond) 20121008.pdf</t>
        </is>
      </c>
      <c r="B35" s="14" t="inlineStr">
        <is>
          <t>EUR</t>
        </is>
      </c>
      <c r="C35" s="15" t="inlineStr">
        <is>
          <t>EUR</t>
        </is>
      </c>
      <c r="D35" s="14" t="n"/>
      <c r="E35" s="14" t="n"/>
      <c r="F35" s="14" t="n"/>
      <c r="G35" s="14" t="n"/>
      <c r="H35" s="14" t="n">
        <v>0.9389448725548312</v>
      </c>
    </row>
    <row r="36">
      <c r="A36" s="14" t="inlineStr">
        <is>
          <t>MWO CBRE SPA (ITALY) CBRE_090724.pdf</t>
        </is>
      </c>
      <c r="B36" s="14" t="inlineStr">
        <is>
          <t>EUR</t>
        </is>
      </c>
      <c r="C36" s="15" t="inlineStr">
        <is>
          <t>EUR</t>
        </is>
      </c>
      <c r="D36" s="14" t="n"/>
      <c r="E36" s="14" t="n"/>
      <c r="F36" s="14" t="n"/>
      <c r="G36" s="14" t="n"/>
      <c r="H36" s="14" t="n">
        <v>0.9343768813967489</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Years</t>
        </is>
      </c>
      <c r="C2" s="15" t="inlineStr">
        <is>
          <t>Years</t>
        </is>
      </c>
      <c r="D2" s="14" t="n"/>
      <c r="E2" s="14" t="n"/>
      <c r="F2" s="14" t="n"/>
      <c r="G2" s="14" t="n"/>
      <c r="H2" s="14" t="n">
        <v>0.955435708203236</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Months</t>
        </is>
      </c>
      <c r="C3" s="15" t="inlineStr">
        <is>
          <t>Months</t>
        </is>
      </c>
      <c r="D3" s="14" t="n"/>
      <c r="E3" s="14" t="n"/>
      <c r="F3" s="14" t="n"/>
      <c r="G3" s="14" t="n"/>
      <c r="H3" s="14" t="n">
        <v>0.955435708203236</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Years</t>
        </is>
      </c>
      <c r="C4" s="15" t="inlineStr">
        <is>
          <t>Years</t>
        </is>
      </c>
      <c r="D4" s="14" t="n"/>
      <c r="E4" s="14" t="n"/>
      <c r="F4" s="14" t="n"/>
      <c r="G4" s="14" t="n"/>
      <c r="H4" s="14" t="n">
        <v>0.955435708203236</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Months</t>
        </is>
      </c>
      <c r="C5" s="15" t="inlineStr">
        <is>
          <t>Months</t>
        </is>
      </c>
      <c r="D5" s="14" t="n"/>
      <c r="E5" s="14" t="n"/>
      <c r="F5" s="14" t="n"/>
      <c r="G5" s="14" t="n"/>
      <c r="H5" s="14" t="n">
        <v>0.9530892448512585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Years</t>
        </is>
      </c>
      <c r="C6" s="15" t="inlineStr">
        <is>
          <t>Years</t>
        </is>
      </c>
      <c r="D6" s="14" t="n"/>
      <c r="E6" s="14" t="n"/>
      <c r="F6" s="14" t="n"/>
      <c r="G6" s="14" t="n"/>
      <c r="H6" s="14" t="n">
        <v>0.326261585993821</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Years</t>
        </is>
      </c>
      <c r="C7" s="15" t="inlineStr">
        <is>
          <t>Years</t>
        </is>
      </c>
      <c r="D7" s="14" t="n"/>
      <c r="E7" s="14" t="n"/>
      <c r="F7" s="14" t="n"/>
      <c r="G7" s="14" t="n"/>
      <c r="H7" s="14" t="n">
        <v>0.955435708203236</v>
      </c>
      <c r="K7" s="17" t="inlineStr">
        <is>
          <t>Total Docs Tested</t>
        </is>
      </c>
      <c r="L7" s="19">
        <f>COUNTA(A2:A36)</f>
        <v/>
      </c>
      <c r="N7" s="17" t="inlineStr">
        <is>
          <t>Total Docs Tested</t>
        </is>
      </c>
      <c r="O7" s="19">
        <f>COUNTA(A2:A36)</f>
        <v/>
      </c>
    </row>
    <row r="8">
      <c r="A8" s="14" t="inlineStr">
        <is>
          <t>20260629 HOK ADHDcentraal BV (1).pdf</t>
        </is>
      </c>
      <c r="B8" s="14" t="inlineStr">
        <is>
          <t>Months</t>
        </is>
      </c>
      <c r="C8" s="15" t="inlineStr">
        <is>
          <t>Months</t>
        </is>
      </c>
      <c r="D8" s="14" t="n"/>
      <c r="E8" s="14" t="n"/>
      <c r="F8" s="14" t="n"/>
      <c r="G8" s="14" t="n"/>
      <c r="H8" s="14" t="n">
        <v>0.9530892448512585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Years</t>
        </is>
      </c>
      <c r="C9" s="15" t="inlineStr">
        <is>
          <t>Years</t>
        </is>
      </c>
      <c r="D9" s="14" t="n"/>
      <c r="E9" s="14" t="n"/>
      <c r="F9" s="14" t="n"/>
      <c r="G9" s="14" t="n"/>
      <c r="H9" s="14" t="n">
        <v>0.955435708203236</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Months</t>
        </is>
      </c>
      <c r="C10" s="15" t="inlineStr">
        <is>
          <t>Months</t>
        </is>
      </c>
      <c r="D10" s="14" t="n"/>
      <c r="E10" s="14" t="n"/>
      <c r="F10" s="14" t="n"/>
      <c r="G10" s="14" t="n"/>
      <c r="H10" s="14" t="n">
        <v>0.9530892448512585</v>
      </c>
      <c r="K10" s="20" t="inlineStr">
        <is>
          <t>Highlighted rows = file(s) not in the annotation sheet; excluded from all metrics above.</t>
        </is>
      </c>
    </row>
    <row r="11">
      <c r="A11" s="14" t="inlineStr">
        <is>
          <t>20270801 - Getekende Allonge II Advario BV.pdf</t>
        </is>
      </c>
      <c r="B11" s="14" t="inlineStr">
        <is>
          <t>Years</t>
        </is>
      </c>
      <c r="C11" s="15" t="inlineStr">
        <is>
          <t>Years</t>
        </is>
      </c>
      <c r="D11" s="14" t="n"/>
      <c r="E11" s="14" t="n"/>
      <c r="F11" s="14" t="n"/>
      <c r="G11" s="14" t="n"/>
      <c r="H11" s="14" t="n">
        <v>0.955435708203236</v>
      </c>
      <c r="K11" s="17" t="inlineStr">
        <is>
          <t>Validation Rules Example</t>
        </is>
      </c>
    </row>
    <row r="12">
      <c r="A12" s="14" t="inlineStr">
        <is>
          <t>240119 HOVK Spoorlaan 446-448 Tilburg signed.pdf</t>
        </is>
      </c>
      <c r="B12" s="14" t="inlineStr">
        <is>
          <t>Years</t>
        </is>
      </c>
      <c r="C12" s="15" t="inlineStr">
        <is>
          <t>Years</t>
        </is>
      </c>
      <c r="D12" s="14" t="n"/>
      <c r="E12" s="14" t="n"/>
      <c r="F12" s="14" t="n"/>
      <c r="G12" s="14" t="n"/>
      <c r="H12" s="14" t="n">
        <v>0.955435708203236</v>
      </c>
      <c r="K12" s="16" t="inlineStr">
        <is>
          <t>Manual Data</t>
        </is>
      </c>
      <c r="L12" s="16" t="inlineStr">
        <is>
          <t>Response Data</t>
        </is>
      </c>
      <c r="M12" s="16" t="inlineStr">
        <is>
          <t>Result</t>
        </is>
      </c>
    </row>
    <row r="13">
      <c r="A13" s="14" t="inlineStr">
        <is>
          <t>27001 Rijksvastgoedbedrijf Huurovereenkomst - __27-01-2026_9-07-56.pdf</t>
        </is>
      </c>
      <c r="B13" s="14" t="inlineStr">
        <is>
          <t>Months</t>
        </is>
      </c>
      <c r="C13" s="15" t="inlineStr">
        <is>
          <t>Months</t>
        </is>
      </c>
      <c r="D13" s="14" t="n"/>
      <c r="E13" s="14" t="n"/>
      <c r="F13" s="14" t="n"/>
      <c r="G13" s="14" t="n"/>
      <c r="H13" s="14" t="n">
        <v>0.327952755905512</v>
      </c>
      <c r="K13" t="n">
        <v>100</v>
      </c>
      <c r="L13" t="n">
        <v>100</v>
      </c>
      <c r="M13" t="inlineStr">
        <is>
          <t>TP</t>
        </is>
      </c>
    </row>
    <row r="14">
      <c r="A14" s="14" t="inlineStr">
        <is>
          <t>CBRE_AT_Services_ENG_-_RITUALS_CBRE signed.pdf</t>
        </is>
      </c>
      <c r="B14" s="14" t="inlineStr">
        <is>
          <t>Months</t>
        </is>
      </c>
      <c r="C14" s="15" t="inlineStr">
        <is>
          <t>Months</t>
        </is>
      </c>
      <c r="D14" s="14" t="n"/>
      <c r="E14" s="14" t="n"/>
      <c r="F14" s="14" t="n"/>
      <c r="G14" s="14" t="n"/>
      <c r="H14" s="14" t="n">
        <v>0.9530892448512585</v>
      </c>
      <c r="L14" t="n">
        <v>100</v>
      </c>
      <c r="M14" t="inlineStr">
        <is>
          <t>FP</t>
        </is>
      </c>
    </row>
    <row r="15">
      <c r="A15" s="14" t="inlineStr">
        <is>
          <t>CBRE_Engagement_Letter_Alnylam_20260525_CLEAN_Version_signed all.pdf</t>
        </is>
      </c>
      <c r="B15" s="14" t="inlineStr">
        <is>
          <t>Months</t>
        </is>
      </c>
      <c r="C15" s="15" t="inlineStr">
        <is>
          <t>Months</t>
        </is>
      </c>
      <c r="D15" s="14" t="n"/>
      <c r="E15" s="14" t="n"/>
      <c r="F15" s="14" t="n"/>
      <c r="G15" s="14" t="n"/>
      <c r="H15" s="14" t="n">
        <v>0.8</v>
      </c>
      <c r="K15" t="n">
        <v>100</v>
      </c>
      <c r="L15" t="n">
        <v>200</v>
      </c>
      <c r="M15" t="inlineStr">
        <is>
          <t>FP</t>
        </is>
      </c>
    </row>
    <row r="16">
      <c r="A16" s="14" t="inlineStr">
        <is>
          <t>COMPL DEF Huurovereenkomst - Skybox - Pepperl+Fuchs - 20260204.pdf</t>
        </is>
      </c>
      <c r="B16" s="14" t="inlineStr">
        <is>
          <t>Years</t>
        </is>
      </c>
      <c r="C16" s="15" t="inlineStr">
        <is>
          <t>Years</t>
        </is>
      </c>
      <c r="D16" s="14" t="n"/>
      <c r="E16" s="14" t="n"/>
      <c r="F16" s="14" t="n"/>
      <c r="G16" s="14" t="n"/>
      <c r="H16" s="14" t="n">
        <v>0.9530892448512585</v>
      </c>
      <c r="K16" t="n">
        <v>100</v>
      </c>
      <c r="M16" t="inlineStr">
        <is>
          <t>FN</t>
        </is>
      </c>
    </row>
    <row r="17">
      <c r="A17" s="14" t="inlineStr">
        <is>
          <t>COMPL Huurovereenkomst - Stichting CCE - Kantoorgebouw Metzpoint I Dr. Holtroplaan - Fully Signed.pdf</t>
        </is>
      </c>
      <c r="B17" s="14" t="inlineStr">
        <is>
          <t>Years</t>
        </is>
      </c>
      <c r="C17" s="15" t="inlineStr">
        <is>
          <t>Years</t>
        </is>
      </c>
      <c r="D17" s="14" t="n"/>
      <c r="E17" s="14" t="n"/>
      <c r="F17" s="14" t="n"/>
      <c r="G17" s="14" t="n"/>
      <c r="H17" s="14" t="n">
        <v>0.950706255405016</v>
      </c>
      <c r="M17" t="inlineStr">
        <is>
          <t>TN</t>
        </is>
      </c>
    </row>
    <row r="18">
      <c r="A18" s="14" t="inlineStr">
        <is>
          <t>COMPL Regel Partners - HOVK - Luchthavenweg 81 - 20260728.pdf</t>
        </is>
      </c>
      <c r="B18" s="14" t="inlineStr">
        <is>
          <t>Years</t>
        </is>
      </c>
      <c r="C18" s="15" t="inlineStr">
        <is>
          <t>Years</t>
        </is>
      </c>
      <c r="D18" s="14" t="n"/>
      <c r="E18" s="14" t="n"/>
      <c r="F18" s="14" t="n"/>
      <c r="G18" s="14" t="n"/>
      <c r="H18" s="14" t="n">
        <v>0.9530892448512585</v>
      </c>
    </row>
    <row r="19">
      <c r="A19" s="14" t="inlineStr">
        <is>
          <t>COMPL_-_Onderhuurovereenkomst_Zelfstroom_B.V._-_50five_B.V._-_kantoorgebouw_Riva_-_05032026.pdf</t>
        </is>
      </c>
      <c r="B19" s="14" t="inlineStr">
        <is>
          <t>Months</t>
        </is>
      </c>
      <c r="C19" s="15" t="inlineStr">
        <is>
          <t>Months</t>
        </is>
      </c>
      <c r="D19" s="14" t="n"/>
      <c r="E19" s="14" t="n"/>
      <c r="F19" s="14" t="n"/>
      <c r="G19" s="14" t="n"/>
      <c r="H19" s="14" t="n">
        <v>0.9189189189189189</v>
      </c>
      <c r="K19" s="17" t="inlineStr">
        <is>
          <t>Field:</t>
        </is>
      </c>
      <c r="L19" t="inlineStr">
        <is>
          <t>Terms / Ref_lease_term_uom_desc</t>
        </is>
      </c>
    </row>
    <row r="20">
      <c r="A20" s="14" t="inlineStr">
        <is>
          <t>Den Bosch, Ruwekampweg 4, HOVK getekend.pdf</t>
        </is>
      </c>
      <c r="B20" s="14" t="inlineStr">
        <is>
          <t>Years</t>
        </is>
      </c>
      <c r="C20" s="15" t="inlineStr">
        <is>
          <t>Years</t>
        </is>
      </c>
      <c r="D20" s="14" t="n"/>
      <c r="E20" s="14" t="n"/>
      <c r="F20" s="14" t="n"/>
      <c r="G20" s="14" t="n"/>
      <c r="H20" s="14" t="n">
        <v>0.9189189189189189</v>
      </c>
    </row>
    <row r="21">
      <c r="A21" s="14" t="inlineStr">
        <is>
          <t>FULLY SIGNED - COMPL Huurovereenkomst - Heijmans - Hugo de Grootlaan 23 's-Hertogenbosch V2 30-9-2025.pdf</t>
        </is>
      </c>
      <c r="B21" s="14" t="inlineStr">
        <is>
          <t>Months</t>
        </is>
      </c>
      <c r="C21" s="15" t="inlineStr">
        <is>
          <t>Months</t>
        </is>
      </c>
      <c r="D21" s="14" t="n"/>
      <c r="E21" s="14" t="n"/>
      <c r="F21" s="14" t="n"/>
      <c r="G21" s="14" t="n"/>
      <c r="H21" s="14" t="n">
        <v>0.3282301316431012</v>
      </c>
    </row>
    <row r="22">
      <c r="A22" s="14" t="inlineStr">
        <is>
          <t>FULLY SIGNED - DEF_COMPL_Huurovereenkomst_Robo_Charge_-_Campus_Offices_-_20260220.pdf</t>
        </is>
      </c>
      <c r="B22" s="14" t="inlineStr">
        <is>
          <t>Years</t>
        </is>
      </c>
      <c r="C22" s="15" t="inlineStr">
        <is>
          <t>Years</t>
        </is>
      </c>
      <c r="D22" s="14" t="n"/>
      <c r="E22" s="14" t="n"/>
      <c r="F22" s="14" t="n"/>
      <c r="G22" s="14" t="n"/>
      <c r="H22" s="14" t="n">
        <v>0.955435708203236</v>
      </c>
    </row>
    <row r="23">
      <c r="A23" s="14" t="inlineStr">
        <is>
          <t>FULLY SIGNED - Onderhuurovereenkomst Aartshertogenlaan 223, `s-Hertogenbosch - Koning Willem I College B.V. 2606202.pdf</t>
        </is>
      </c>
      <c r="B23" s="14" t="inlineStr">
        <is>
          <t>Years</t>
        </is>
      </c>
      <c r="C23" s="15" t="inlineStr">
        <is>
          <t>Years</t>
        </is>
      </c>
      <c r="D23" s="14" t="n"/>
      <c r="E23" s="14" t="n"/>
      <c r="F23" s="14" t="n"/>
      <c r="G23" s="14" t="n"/>
      <c r="H23" s="14" t="n">
        <v>0.955435708203236</v>
      </c>
    </row>
    <row r="24">
      <c r="A24" s="14" t="inlineStr">
        <is>
          <t>FULLY SIGNED COMPL_DEF_Huurovereenkomst_Bond_Bergschot_Breda.pdf</t>
        </is>
      </c>
      <c r="B24" s="14" t="inlineStr">
        <is>
          <t>Months</t>
        </is>
      </c>
      <c r="C24" s="15" t="inlineStr">
        <is>
          <t>Months</t>
        </is>
      </c>
      <c r="D24" s="14" t="n"/>
      <c r="E24" s="14" t="n"/>
      <c r="F24" s="14" t="n"/>
      <c r="G24" s="14" t="n"/>
      <c r="H24" s="14" t="n">
        <v>0.955435708203236</v>
      </c>
    </row>
    <row r="25">
      <c r="A25" s="14" t="inlineStr">
        <is>
          <t>FullySigned_Allonge_II_Virtual_Vaults_Nederland.pdf</t>
        </is>
      </c>
      <c r="B25" s="14" t="inlineStr">
        <is>
          <t>Years</t>
        </is>
      </c>
      <c r="C25" s="15" t="inlineStr">
        <is>
          <t>Years</t>
        </is>
      </c>
      <c r="D25" s="14" t="n"/>
      <c r="E25" s="14" t="n"/>
      <c r="F25" s="14" t="n"/>
      <c r="G25" s="14" t="n"/>
      <c r="H25" s="14" t="n">
        <v>0.9530892448512585</v>
      </c>
    </row>
    <row r="26">
      <c r="A26" s="14" t="inlineStr">
        <is>
          <t>FullySigned_Lease_Agreement_Neste_EDGE_Coolsingel.pdf</t>
        </is>
      </c>
      <c r="B26" s="14" t="inlineStr">
        <is>
          <t>Years</t>
        </is>
      </c>
      <c r="C26" s="15" t="inlineStr">
        <is>
          <t>Years</t>
        </is>
      </c>
      <c r="D26" s="14" t="n"/>
      <c r="E26" s="14" t="n"/>
      <c r="F26" s="14" t="n"/>
      <c r="G26" s="14" t="n"/>
      <c r="H26" s="14" t="n">
        <v>0.9530892448512585</v>
      </c>
    </row>
    <row r="27">
      <c r="A27" s="14" t="inlineStr">
        <is>
          <t>HOK Waalhaven Group (signed).pdf</t>
        </is>
      </c>
      <c r="B27" s="14" t="inlineStr">
        <is>
          <t>Years</t>
        </is>
      </c>
      <c r="C27" s="15" t="inlineStr">
        <is>
          <t>Years</t>
        </is>
      </c>
      <c r="D27" s="14" t="n"/>
      <c r="E27" s="14" t="n"/>
      <c r="F27" s="14" t="n"/>
      <c r="G27" s="14" t="n"/>
      <c r="H27" s="14" t="n">
        <v>0.955435708203236</v>
      </c>
    </row>
    <row r="28">
      <c r="A28" s="14" t="inlineStr">
        <is>
          <t>Hovk Avans  (3e+4e+5e verd.) 20140425.pdf</t>
        </is>
      </c>
      <c r="B28" s="14" t="inlineStr">
        <is>
          <t>Months</t>
        </is>
      </c>
      <c r="C28" s="15" t="inlineStr">
        <is>
          <t>Months</t>
        </is>
      </c>
      <c r="D28" s="14" t="n"/>
      <c r="E28" s="14" t="n"/>
      <c r="F28" s="14" t="n"/>
      <c r="G28" s="14" t="n"/>
      <c r="H28" s="14" t="n">
        <v>0.955435708203236</v>
      </c>
    </row>
    <row r="29">
      <c r="A29" s="14" t="inlineStr">
        <is>
          <t>HOVK Power4People 2025.pdf</t>
        </is>
      </c>
      <c r="B29" s="14" t="inlineStr">
        <is>
          <t>Months</t>
        </is>
      </c>
      <c r="C29" s="15" t="inlineStr">
        <is>
          <t>Months</t>
        </is>
      </c>
      <c r="D29" s="14" t="n"/>
      <c r="E29" s="14" t="n"/>
      <c r="F29" s="14" t="n"/>
      <c r="G29" s="14" t="n"/>
      <c r="H29" s="14" t="n">
        <v>0.9530892448512585</v>
      </c>
    </row>
    <row r="30">
      <c r="A30" s="14" t="inlineStr">
        <is>
          <t>Huurovereenkomst (Semmie Group B.V.) - Wilhelminasingel 19, Breda.pdf</t>
        </is>
      </c>
      <c r="B30" s="14" t="inlineStr">
        <is>
          <t>Months</t>
        </is>
      </c>
      <c r="C30" s="15" t="inlineStr">
        <is>
          <t>Months</t>
        </is>
      </c>
      <c r="D30" s="14" t="n"/>
      <c r="E30" s="14" t="n"/>
      <c r="F30" s="14" t="n"/>
      <c r="G30" s="14" t="n"/>
      <c r="H30" s="14" t="n">
        <v>0.9530892448512585</v>
      </c>
    </row>
    <row r="31">
      <c r="A31" s="14" t="inlineStr">
        <is>
          <t>Huurovereenkomst - proces-verbaal van oplevering - sleuteloverdracht - Kennedyplein 101 - getekend.pdf</t>
        </is>
      </c>
      <c r="B31" s="14" t="inlineStr">
        <is>
          <t>Years</t>
        </is>
      </c>
      <c r="C31" s="15" t="inlineStr">
        <is>
          <t>Years</t>
        </is>
      </c>
      <c r="D31" s="14" t="n"/>
      <c r="E31" s="14" t="n"/>
      <c r="F31" s="14" t="n"/>
      <c r="G31" s="14" t="n"/>
      <c r="H31" s="14" t="n">
        <v>0.955435708203236</v>
      </c>
    </row>
    <row r="32">
      <c r="A32" s="14" t="inlineStr">
        <is>
          <t>Huurovereenkomst Bijster 5 te Breda getekend.pdf</t>
        </is>
      </c>
      <c r="B32" s="14" t="inlineStr">
        <is>
          <t>Years</t>
        </is>
      </c>
      <c r="C32" s="15" t="inlineStr">
        <is>
          <t>Years</t>
        </is>
      </c>
      <c r="D32" s="14" t="n"/>
      <c r="E32" s="14" t="n"/>
      <c r="F32" s="14" t="n"/>
      <c r="G32" s="14" t="n"/>
      <c r="H32" s="14" t="n">
        <v>0.955435708203236</v>
      </c>
    </row>
    <row r="33">
      <c r="A33" s="14" t="inlineStr">
        <is>
          <t>Huurovereenkomst Catena Pand Son - Skymark (Son en Breugel - NLD).pdf</t>
        </is>
      </c>
      <c r="B33" s="14" t="inlineStr">
        <is>
          <t>Years</t>
        </is>
      </c>
      <c r="C33" s="15" t="inlineStr">
        <is>
          <t>Years</t>
        </is>
      </c>
      <c r="D33" s="14" t="n"/>
      <c r="E33" s="14" t="n"/>
      <c r="F33" s="14" t="n"/>
      <c r="G33" s="14" t="n"/>
      <c r="H33" s="14" t="n">
        <v>0.9389448725548312</v>
      </c>
    </row>
    <row r="34">
      <c r="A34" s="14" t="inlineStr">
        <is>
          <t>Huurovereenkomst KPN Opstelpunt Parallelweg 64 20130313.pdf</t>
        </is>
      </c>
      <c r="B34" s="14" t="inlineStr">
        <is>
          <t>Years</t>
        </is>
      </c>
      <c r="C34" s="15" t="inlineStr">
        <is>
          <t>Years</t>
        </is>
      </c>
      <c r="D34" s="14" t="n"/>
      <c r="E34" s="14" t="n"/>
      <c r="F34" s="14" t="n"/>
      <c r="G34" s="14" t="n"/>
      <c r="H34" s="14" t="n">
        <v>0.9389448725548312</v>
      </c>
    </row>
    <row r="35">
      <c r="A35" s="14" t="inlineStr">
        <is>
          <t>Huurovereenkomst PBG Parallelweg 64 (beg.grond) 20121008.pdf</t>
        </is>
      </c>
      <c r="B35" s="14" t="inlineStr">
        <is>
          <t>Years</t>
        </is>
      </c>
      <c r="C35" s="15" t="inlineStr">
        <is>
          <t>Years</t>
        </is>
      </c>
      <c r="D35" s="14" t="n"/>
      <c r="E35" s="14" t="n"/>
      <c r="F35" s="14" t="n"/>
      <c r="G35" s="14" t="n"/>
      <c r="H35" s="14" t="n">
        <v>0.955435708203236</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EUR/Year</t>
        </is>
      </c>
      <c r="C2" s="15" t="inlineStr">
        <is>
          <t>EUR/Year</t>
        </is>
      </c>
      <c r="D2" s="14" t="n"/>
      <c r="E2" s="14" t="n"/>
      <c r="F2" s="14" t="n"/>
      <c r="G2" s="14" t="n"/>
      <c r="H2" s="14" t="n">
        <v>0.9366786140979689</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EUR/Year</t>
        </is>
      </c>
      <c r="C3" s="15" t="inlineStr">
        <is>
          <t>EUR/Year</t>
        </is>
      </c>
      <c r="D3" s="14" t="n"/>
      <c r="E3" s="14" t="n"/>
      <c r="F3" s="14" t="n"/>
      <c r="G3" s="14" t="n"/>
      <c r="H3" s="14" t="n">
        <v>0.9389448725548312</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EUR/SQM/YEAR</t>
        </is>
      </c>
      <c r="C4" s="15" t="inlineStr">
        <is>
          <t>EUR/SQM/YEAR</t>
        </is>
      </c>
      <c r="D4" s="14" t="n"/>
      <c r="E4" s="14" t="n"/>
      <c r="F4" s="14" t="n"/>
      <c r="G4" s="14" t="n"/>
      <c r="H4" s="14" t="n">
        <v>0.9366786140979689</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EUR/SQM/YEAR</t>
        </is>
      </c>
      <c r="C5" s="15" t="inlineStr">
        <is>
          <t>EUR/SQM/YEAR</t>
        </is>
      </c>
      <c r="D5" s="14" t="n"/>
      <c r="E5" s="14" t="n"/>
      <c r="F5" s="14" t="n"/>
      <c r="G5" s="14" t="n"/>
      <c r="H5" s="14" t="n">
        <v>0.9366786140979689</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EUR/Quarter</t>
        </is>
      </c>
      <c r="C6" s="15" t="inlineStr">
        <is>
          <t>EUR/Quarter</t>
        </is>
      </c>
      <c r="D6" s="14" t="n"/>
      <c r="E6" s="14" t="n"/>
      <c r="F6" s="14" t="n"/>
      <c r="G6" s="14" t="n"/>
      <c r="H6" s="14" t="n">
        <v>0.9389448725548312</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EUR/SQM/YEAR</t>
        </is>
      </c>
      <c r="C7" s="15" t="inlineStr">
        <is>
          <t>EUR/SQM/YEAR</t>
        </is>
      </c>
      <c r="D7" s="14" t="n"/>
      <c r="E7" s="14" t="n"/>
      <c r="F7" s="14" t="n"/>
      <c r="G7" s="14" t="n"/>
      <c r="H7" s="14" t="n">
        <v>0.9389448725548312</v>
      </c>
      <c r="K7" s="17" t="inlineStr">
        <is>
          <t>Total Docs Tested</t>
        </is>
      </c>
      <c r="L7" s="19">
        <f>COUNTA(A2:A36)</f>
        <v/>
      </c>
      <c r="N7" s="17" t="inlineStr">
        <is>
          <t>Total Docs Tested</t>
        </is>
      </c>
      <c r="O7" s="19">
        <f>COUNTA(A2:A36)</f>
        <v/>
      </c>
    </row>
    <row r="8">
      <c r="A8" s="14" t="inlineStr">
        <is>
          <t>20260629 HOK ADHDcentraal BV (1).pdf</t>
        </is>
      </c>
      <c r="B8" s="14" t="inlineStr">
        <is>
          <t>EUR/SQM/YEAR</t>
        </is>
      </c>
      <c r="C8" s="15" t="inlineStr">
        <is>
          <t>EUR/SQM/YEAR</t>
        </is>
      </c>
      <c r="D8" s="14" t="n"/>
      <c r="E8" s="14" t="n"/>
      <c r="F8" s="14" t="n"/>
      <c r="G8" s="14" t="n"/>
      <c r="H8" s="14" t="n">
        <v>0.9366786140979689</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EUR/Month</t>
        </is>
      </c>
      <c r="C9" s="15" t="inlineStr">
        <is>
          <t>EUR/Month</t>
        </is>
      </c>
      <c r="D9" s="14" t="n"/>
      <c r="E9" s="14" t="n"/>
      <c r="F9" s="14" t="n"/>
      <c r="G9" s="14" t="n"/>
      <c r="H9" s="14" t="n">
        <v>0.9389448725548312</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EUR/SQM/YEAR</t>
        </is>
      </c>
      <c r="C10" s="15" t="inlineStr">
        <is>
          <t>EUR/SQM/YEAR</t>
        </is>
      </c>
      <c r="D10" s="14" t="n"/>
      <c r="E10" s="14" t="n"/>
      <c r="F10" s="14" t="n"/>
      <c r="G10" s="14" t="n"/>
      <c r="H10" s="14" t="n">
        <v>0.9389448725548312</v>
      </c>
      <c r="K10" s="20" t="inlineStr">
        <is>
          <t>Highlighted rows = file(s) not in the annotation sheet; excluded from all metrics above.</t>
        </is>
      </c>
    </row>
    <row r="11">
      <c r="A11" s="14" t="inlineStr">
        <is>
          <t>20270801 - Getekende Allonge II Advario BV.pdf</t>
        </is>
      </c>
      <c r="B11" s="14" t="inlineStr">
        <is>
          <t>EUR/SQM/YEAR</t>
        </is>
      </c>
      <c r="C11" s="15" t="inlineStr">
        <is>
          <t>EUR/SQM/YEAR</t>
        </is>
      </c>
      <c r="D11" s="14" t="n"/>
      <c r="E11" s="14" t="inlineStr">
        <is>
          <t>4</t>
        </is>
      </c>
      <c r="F11" s="14" t="n"/>
      <c r="G11" s="14" t="n"/>
      <c r="H11" s="14" t="n">
        <v>0.888888888888889</v>
      </c>
      <c r="K11" s="17" t="inlineStr">
        <is>
          <t>Validation Rules Example</t>
        </is>
      </c>
    </row>
    <row r="12">
      <c r="A12" s="14" t="inlineStr">
        <is>
          <t>240119 HOVK Spoorlaan 446-448 Tilburg signed.pdf</t>
        </is>
      </c>
      <c r="B12" s="14" t="inlineStr">
        <is>
          <t>Included</t>
        </is>
      </c>
      <c r="C12" s="15" t="inlineStr">
        <is>
          <t>Included</t>
        </is>
      </c>
      <c r="D12" s="14" t="n"/>
      <c r="E12" s="14" t="n"/>
      <c r="F12" s="14" t="n"/>
      <c r="G12" s="14" t="n"/>
      <c r="H12" s="14" t="n">
        <v>1</v>
      </c>
      <c r="K12" s="16" t="inlineStr">
        <is>
          <t>Manual Data</t>
        </is>
      </c>
      <c r="L12" s="16" t="inlineStr">
        <is>
          <t>Response Data</t>
        </is>
      </c>
      <c r="M12" s="16" t="inlineStr">
        <is>
          <t>Result</t>
        </is>
      </c>
    </row>
    <row r="13">
      <c r="A13" s="14" t="inlineStr">
        <is>
          <t>27001 Rijksvastgoedbedrijf Huurovereenkomst - __27-01-2026_9-07-56.pdf</t>
        </is>
      </c>
      <c r="B13" s="14" t="inlineStr">
        <is>
          <t>EUR/SQM/YEAR</t>
        </is>
      </c>
      <c r="C13" s="15" t="inlineStr">
        <is>
          <t>EUR/SQM/YEAR</t>
        </is>
      </c>
      <c r="D13" s="14" t="n"/>
      <c r="E13" s="14" t="n"/>
      <c r="F13" s="14" t="n"/>
      <c r="G13" s="14" t="n"/>
      <c r="H13" s="14" t="n">
        <v>0.9389448725548312</v>
      </c>
      <c r="K13" t="n">
        <v>100</v>
      </c>
      <c r="L13" t="n">
        <v>100</v>
      </c>
      <c r="M13" t="inlineStr">
        <is>
          <t>TP</t>
        </is>
      </c>
    </row>
    <row r="14">
      <c r="A14" s="14" t="inlineStr">
        <is>
          <t>CBRE_AT_Services_ENG_-_RITUALS_CBRE signed.pdf</t>
        </is>
      </c>
      <c r="B14" s="14" t="inlineStr">
        <is>
          <t>EUR/SQM/YEAR</t>
        </is>
      </c>
      <c r="C14" s="15" t="inlineStr">
        <is>
          <t>EUR/SQM/YEAR</t>
        </is>
      </c>
      <c r="D14" s="14" t="n"/>
      <c r="E14" s="14" t="n"/>
      <c r="F14" s="14" t="n"/>
      <c r="G14" s="14" t="n"/>
      <c r="H14" s="14" t="n">
        <v>0.9343768813967489</v>
      </c>
      <c r="L14" t="n">
        <v>100</v>
      </c>
      <c r="M14" t="inlineStr">
        <is>
          <t>FP</t>
        </is>
      </c>
    </row>
    <row r="15">
      <c r="A15" s="14" t="inlineStr">
        <is>
          <t>CBRE_Engagement_Letter_Alnylam_20260525_CLEAN_Version_signed all.pdf</t>
        </is>
      </c>
      <c r="B15" s="14" t="inlineStr">
        <is>
          <t>N/A</t>
        </is>
      </c>
      <c r="C15" s="15" t="inlineStr">
        <is>
          <t>N/A</t>
        </is>
      </c>
      <c r="D15" s="14" t="n"/>
      <c r="E15" s="14" t="n"/>
      <c r="F15" s="14" t="n"/>
      <c r="G15" s="14" t="n"/>
      <c r="H15" s="14" t="n">
        <v>0.8549618320610687</v>
      </c>
      <c r="K15" t="n">
        <v>100</v>
      </c>
      <c r="L15" t="n">
        <v>200</v>
      </c>
      <c r="M15" t="inlineStr">
        <is>
          <t>FP</t>
        </is>
      </c>
    </row>
    <row r="16">
      <c r="A16" s="14" t="inlineStr">
        <is>
          <t>COMPL DEF Huurovereenkomst - Skybox - Pepperl+Fuchs - 20260204.pdf</t>
        </is>
      </c>
      <c r="B16" s="14" t="inlineStr">
        <is>
          <t>EUR/SQM/YEAR</t>
        </is>
      </c>
      <c r="C16" s="15" t="inlineStr">
        <is>
          <t>EUR/SQM/YEAR</t>
        </is>
      </c>
      <c r="D16" s="14" t="n"/>
      <c r="E16" s="14" t="n"/>
      <c r="F16" s="14" t="n"/>
      <c r="G16" s="14" t="n"/>
      <c r="H16" s="14" t="n">
        <v>0.9389448725548312</v>
      </c>
      <c r="K16" t="n">
        <v>100</v>
      </c>
      <c r="M16" t="inlineStr">
        <is>
          <t>FN</t>
        </is>
      </c>
    </row>
    <row r="17">
      <c r="A17" s="14" t="inlineStr">
        <is>
          <t>COMPL Huurovereenkomst - Stichting CCE - Kantoorgebouw Metzpoint I Dr. Holtroplaan - Fully Signed.pdf</t>
        </is>
      </c>
      <c r="B17" s="14" t="inlineStr">
        <is>
          <t>EUR/SQM/YEAR</t>
        </is>
      </c>
      <c r="C17" s="15" t="inlineStr">
        <is>
          <t>EUR/SQM/YEAR</t>
        </is>
      </c>
      <c r="D17" s="14" t="n"/>
      <c r="E17" s="14" t="n"/>
      <c r="F17" s="14" t="n"/>
      <c r="G17" s="14" t="n"/>
      <c r="H17" s="14" t="n">
        <v>0.9389448725548312</v>
      </c>
      <c r="M17" t="inlineStr">
        <is>
          <t>TN</t>
        </is>
      </c>
    </row>
    <row r="18">
      <c r="A18" s="14" t="inlineStr">
        <is>
          <t>COMPL Regel Partners - HOVK - Luchthavenweg 81 - 20260728.pdf</t>
        </is>
      </c>
      <c r="B18" s="14" t="inlineStr">
        <is>
          <t>EUR/SQM/YEAR</t>
        </is>
      </c>
      <c r="C18" s="15" t="inlineStr">
        <is>
          <t>EUR/SQM/YEAR</t>
        </is>
      </c>
      <c r="D18" s="14" t="n"/>
      <c r="E18" s="14" t="n"/>
      <c r="F18" s="14" t="n"/>
      <c r="G18" s="14" t="n"/>
      <c r="H18" s="14" t="n">
        <v>0.888888888888889</v>
      </c>
    </row>
    <row r="19">
      <c r="A19" s="14" t="inlineStr">
        <is>
          <t>COMPL_-_Onderhuurovereenkomst_Zelfstroom_B.V._-_50five_B.V._-_kantoorgebouw_Riva_-_05032026.pdf</t>
        </is>
      </c>
      <c r="B19" s="14" t="inlineStr">
        <is>
          <t>EUR/SQM/YEAR</t>
        </is>
      </c>
      <c r="C19" s="15" t="inlineStr">
        <is>
          <t>EUR/SQM/YEAR</t>
        </is>
      </c>
      <c r="D19" s="14" t="n"/>
      <c r="E19" s="14" t="n"/>
      <c r="F19" s="14" t="n"/>
      <c r="G19" s="14" t="n"/>
      <c r="H19" s="14" t="n">
        <v>0.9389448725548312</v>
      </c>
      <c r="K19" s="17" t="inlineStr">
        <is>
          <t>Field:</t>
        </is>
      </c>
      <c r="L19" t="inlineStr">
        <is>
          <t>Terms / Ref_service_charge_per_area_value_price_uom_desc</t>
        </is>
      </c>
    </row>
    <row r="20">
      <c r="A20" s="14" t="inlineStr">
        <is>
          <t>Den Bosch, Ruwekampweg 4, HOVK getekend.pdf</t>
        </is>
      </c>
      <c r="B20" s="14" t="inlineStr">
        <is>
          <t>EUR/Month</t>
        </is>
      </c>
      <c r="C20" s="15" t="inlineStr">
        <is>
          <t>EUR/Month</t>
        </is>
      </c>
      <c r="D20" s="14" t="n"/>
      <c r="E20" s="14" t="n"/>
      <c r="F20" s="14" t="n"/>
      <c r="G20" s="14" t="n"/>
      <c r="H20" s="14" t="n">
        <v>0.9320388349514563</v>
      </c>
    </row>
    <row r="21">
      <c r="A21" s="14" t="inlineStr">
        <is>
          <t>FULLY SIGNED - COMPL Huurovereenkomst - Heijmans - Hugo de Grootlaan 23 's-Hertogenbosch V2 30-9-2025.pdf</t>
        </is>
      </c>
      <c r="B21" s="14" t="inlineStr">
        <is>
          <t>EUR/SQM/YEAR</t>
        </is>
      </c>
      <c r="C21" s="15" t="inlineStr">
        <is>
          <t>EUR/SQM/YEAR</t>
        </is>
      </c>
      <c r="D21" s="14" t="n"/>
      <c r="E21" s="14" t="n"/>
      <c r="F21" s="14" t="n"/>
      <c r="G21" s="14" t="n"/>
      <c r="H21" s="14" t="n">
        <v>0.9389448725548312</v>
      </c>
    </row>
    <row r="22">
      <c r="A22" s="14" t="inlineStr">
        <is>
          <t>FULLY SIGNED - DEF_COMPL_Huurovereenkomst_Robo_Charge_-_Campus_Offices_-_20260220.pdf</t>
        </is>
      </c>
      <c r="B22" s="14" t="inlineStr">
        <is>
          <t>EUR/SQM/YEAR</t>
        </is>
      </c>
      <c r="C22" s="15" t="inlineStr">
        <is>
          <t>EUR/SQM/YEAR</t>
        </is>
      </c>
      <c r="D22" s="14" t="n"/>
      <c r="E22" s="14" t="n"/>
      <c r="F22" s="14" t="n"/>
      <c r="G22" s="14" t="n"/>
      <c r="H22" s="14" t="n">
        <v>0.9389448725548312</v>
      </c>
    </row>
    <row r="23">
      <c r="A23" s="14" t="inlineStr">
        <is>
          <t>FULLY SIGNED - Onderhuurovereenkomst Aartshertogenlaan 223, `s-Hertogenbosch - Koning Willem I College B.V. 2606202.pdf</t>
        </is>
      </c>
      <c r="B23" s="14" t="inlineStr">
        <is>
          <t>EUR/Month</t>
        </is>
      </c>
      <c r="C23" s="15" t="inlineStr">
        <is>
          <t>EUR/Month</t>
        </is>
      </c>
      <c r="D23" s="14" t="n"/>
      <c r="E23" s="14" t="n"/>
      <c r="F23" s="14" t="n"/>
      <c r="G23" s="14" t="n"/>
      <c r="H23" s="14" t="n">
        <v>0.9343768813967489</v>
      </c>
    </row>
    <row r="24">
      <c r="A24" s="14" t="inlineStr">
        <is>
          <t>FULLY SIGNED COMPL_DEF_Huurovereenkomst_Bond_Bergschot_Breda.pdf</t>
        </is>
      </c>
      <c r="B24" s="14" t="inlineStr">
        <is>
          <t>EUR/SQM/YEAR</t>
        </is>
      </c>
      <c r="C24" s="15" t="inlineStr">
        <is>
          <t>EUR/SQM/YEAR</t>
        </is>
      </c>
      <c r="D24" s="14" t="n"/>
      <c r="E24" s="14" t="n"/>
      <c r="F24" s="14" t="n"/>
      <c r="G24" s="14" t="n"/>
      <c r="H24" s="14" t="n">
        <v>0.9389448725548312</v>
      </c>
    </row>
    <row r="25">
      <c r="A25" s="14" t="inlineStr">
        <is>
          <t>FullySigned_Allonge_II_Virtual_Vaults_Nederland.pdf</t>
        </is>
      </c>
      <c r="B25" s="14" t="inlineStr">
        <is>
          <t>EUR/SQM/YEAR</t>
        </is>
      </c>
      <c r="C25" s="15" t="inlineStr">
        <is>
          <t>EUR/SQM/YEAR</t>
        </is>
      </c>
      <c r="D25" s="14" t="n"/>
      <c r="E25" s="14" t="n"/>
      <c r="F25" s="14" t="n"/>
      <c r="G25" s="14" t="n"/>
      <c r="H25" s="14" t="n">
        <v>0.888888888888889</v>
      </c>
    </row>
    <row r="26">
      <c r="A26" s="14" t="inlineStr">
        <is>
          <t>FullySigned_Lease_Agreement_Neste_EDGE_Coolsingel.pdf</t>
        </is>
      </c>
      <c r="B26" s="14" t="inlineStr">
        <is>
          <t>EUR/SQM/YEAR</t>
        </is>
      </c>
      <c r="C26" s="15" t="inlineStr">
        <is>
          <t>EUR/SQM/YEAR</t>
        </is>
      </c>
      <c r="D26" s="14" t="n"/>
      <c r="E26" s="14" t="n"/>
      <c r="F26" s="14" t="n"/>
      <c r="G26" s="14" t="n"/>
      <c r="H26" s="14" t="n">
        <v>0.9366786140979689</v>
      </c>
    </row>
    <row r="27">
      <c r="A27" s="14" t="inlineStr">
        <is>
          <t>HOK Waalhaven Group (signed).pdf</t>
        </is>
      </c>
      <c r="B27" s="14" t="inlineStr">
        <is>
          <t>EUR/SQM/YEAR</t>
        </is>
      </c>
      <c r="C27" s="15" t="inlineStr">
        <is>
          <t>EUR/SQM/YEAR</t>
        </is>
      </c>
      <c r="D27" s="14" t="n"/>
      <c r="E27" s="14" t="n"/>
      <c r="F27" s="14" t="n"/>
      <c r="G27" s="14" t="n"/>
      <c r="H27" s="14" t="n">
        <v>0.9389448725548312</v>
      </c>
    </row>
    <row r="28">
      <c r="A28" s="14" t="inlineStr">
        <is>
          <t>Hovk Avans  (3e+4e+5e verd.) 20140425.pdf</t>
        </is>
      </c>
      <c r="B28" s="14" t="inlineStr">
        <is>
          <t>EUR/Quarter</t>
        </is>
      </c>
      <c r="C28" s="15" t="inlineStr">
        <is>
          <t>EUR/Quarter</t>
        </is>
      </c>
      <c r="D28" s="14" t="n"/>
      <c r="E28" s="14" t="n"/>
      <c r="F28" s="14" t="n"/>
      <c r="G28" s="14" t="n"/>
      <c r="H28" s="14" t="n">
        <v>0.9366786140979689</v>
      </c>
    </row>
    <row r="29">
      <c r="A29" s="14" t="inlineStr">
        <is>
          <t>HOVK Power4People 2025.pdf</t>
        </is>
      </c>
      <c r="B29" s="14" t="inlineStr">
        <is>
          <t>EUR/Month</t>
        </is>
      </c>
      <c r="C29" s="15" t="inlineStr">
        <is>
          <t>EUR/Month</t>
        </is>
      </c>
      <c r="D29" s="14" t="n"/>
      <c r="E29" s="14" t="n"/>
      <c r="F29" s="14" t="n"/>
      <c r="G29" s="14" t="n"/>
      <c r="H29" s="14" t="n">
        <v>0.9343768813967489</v>
      </c>
    </row>
    <row r="30">
      <c r="A30" s="14" t="inlineStr">
        <is>
          <t>Huurovereenkomst (Semmie Group B.V.) - Wilhelminasingel 19, Breda.pdf</t>
        </is>
      </c>
      <c r="B30" s="14" t="inlineStr">
        <is>
          <t>EUR/Month</t>
        </is>
      </c>
      <c r="C30" s="15" t="inlineStr">
        <is>
          <t>EUR/Month</t>
        </is>
      </c>
      <c r="D30" s="14" t="n"/>
      <c r="E30" s="14" t="n"/>
      <c r="F30" s="14" t="n"/>
      <c r="G30" s="14" t="n"/>
      <c r="H30" s="14" t="n">
        <v>0.9389448725548312</v>
      </c>
    </row>
    <row r="31">
      <c r="A31" s="14" t="inlineStr">
        <is>
          <t>Huurovereenkomst - proces-verbaal van oplevering - sleuteloverdracht - Kennedyplein 101 - getekend.pdf</t>
        </is>
      </c>
      <c r="B31" s="14" t="inlineStr">
        <is>
          <t>EUR/Month</t>
        </is>
      </c>
      <c r="C31" s="15" t="inlineStr">
        <is>
          <t>EUR/Month</t>
        </is>
      </c>
      <c r="D31" s="14" t="n"/>
      <c r="E31" s="14" t="n"/>
      <c r="F31" s="14" t="n"/>
      <c r="G31" s="14" t="n"/>
      <c r="H31" s="14" t="n">
        <v>0.9366786140979689</v>
      </c>
    </row>
    <row r="32">
      <c r="A32" s="14" t="inlineStr">
        <is>
          <t>Huurovereenkomst Bijster 5 te Breda getekend.pdf</t>
        </is>
      </c>
      <c r="B32" s="14" t="inlineStr">
        <is>
          <t>EUR/Month</t>
        </is>
      </c>
      <c r="C32" s="15" t="inlineStr">
        <is>
          <t>EUR/Month</t>
        </is>
      </c>
      <c r="D32" s="14" t="n"/>
      <c r="E32" s="14" t="n"/>
      <c r="F32" s="14" t="n"/>
      <c r="G32" s="14" t="n"/>
      <c r="H32" s="14" t="n">
        <v>0.9366786140979689</v>
      </c>
    </row>
    <row r="33">
      <c r="A33" s="14" t="inlineStr">
        <is>
          <t>Huurovereenkomst Catena Pand Son - Skymark (Son en Breugel - NLD).pdf</t>
        </is>
      </c>
      <c r="B33" s="14" t="inlineStr">
        <is>
          <t>N/A</t>
        </is>
      </c>
      <c r="C33" s="15" t="inlineStr">
        <is>
          <t>N/A</t>
        </is>
      </c>
      <c r="D33" s="14" t="n"/>
      <c r="E33" s="14" t="n"/>
      <c r="F33" s="14" t="n"/>
      <c r="G33" s="14" t="n"/>
      <c r="H33" s="14" t="n">
        <v>0.9366786140979689</v>
      </c>
    </row>
    <row r="34">
      <c r="A34" s="14" t="inlineStr">
        <is>
          <t>Huurovereenkomst KPN Opstelpunt Parallelweg 64 20130313.pdf</t>
        </is>
      </c>
      <c r="B34" s="14" t="inlineStr">
        <is>
          <t>N/A</t>
        </is>
      </c>
      <c r="C34" s="15" t="inlineStr">
        <is>
          <t>N/A</t>
        </is>
      </c>
      <c r="D34" s="14" t="n"/>
      <c r="E34" s="14" t="n"/>
      <c r="F34" s="14" t="n"/>
      <c r="G34" s="14" t="n"/>
      <c r="H34" s="14" t="n">
        <v>0.9366786140979689</v>
      </c>
    </row>
    <row r="35">
      <c r="A35" s="14" t="inlineStr">
        <is>
          <t>Huurovereenkomst PBG Parallelweg 64 (beg.grond) 20121008.pdf</t>
        </is>
      </c>
      <c r="B35" s="14" t="inlineStr">
        <is>
          <t>EUR/Quarter</t>
        </is>
      </c>
      <c r="C35" s="15" t="inlineStr">
        <is>
          <t>EUR/Quarter</t>
        </is>
      </c>
      <c r="D35" s="14" t="n"/>
      <c r="E35" s="14" t="n"/>
      <c r="F35" s="14" t="n"/>
      <c r="G35" s="14" t="n"/>
      <c r="H35" s="14" t="n">
        <v>0.9366786140979689</v>
      </c>
    </row>
    <row r="36">
      <c r="A36" s="14" t="inlineStr">
        <is>
          <t>MWO CBRE SPA (ITALY) CBRE_090724.pdf</t>
        </is>
      </c>
      <c r="B36" s="14" t="inlineStr">
        <is>
          <t>N/A</t>
        </is>
      </c>
      <c r="C36" s="15" t="inlineStr">
        <is>
          <t>N/A</t>
        </is>
      </c>
      <c r="D36" s="14" t="n"/>
      <c r="E36" s="14" t="n"/>
      <c r="F36" s="14" t="n"/>
      <c r="G36" s="14" t="n"/>
      <c r="H36" s="14" t="n">
        <v>0.9296636085626911</v>
      </c>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One Time</t>
        </is>
      </c>
      <c r="C4" s="15" t="inlineStr">
        <is>
          <t>One Time</t>
        </is>
      </c>
      <c r="D4" s="14" t="n"/>
      <c r="E4" s="14" t="n"/>
      <c r="F4" s="14" t="n"/>
      <c r="G4" s="14" t="n"/>
      <c r="H4" s="14" t="n">
        <v>0.9296636085626911</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n"/>
      <c r="D5" s="14" t="n"/>
      <c r="E5" s="14" t="n"/>
      <c r="F5" s="14" t="n"/>
      <c r="G5" s="14" t="n"/>
      <c r="H5" s="14" t="n"/>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n"/>
      <c r="D7" s="14" t="n"/>
      <c r="E7" s="14" t="n"/>
      <c r="F7" s="14" t="n"/>
      <c r="G7" s="14" t="n"/>
      <c r="H7" s="14" t="n"/>
      <c r="K7" s="17" t="inlineStr">
        <is>
          <t>Total Docs Tested</t>
        </is>
      </c>
      <c r="L7" s="19">
        <f>COUNTA(A2:A36)</f>
        <v/>
      </c>
      <c r="N7" s="17" t="inlineStr">
        <is>
          <t>Total Docs Tested</t>
        </is>
      </c>
      <c r="O7" s="19">
        <f>COUNTA(A2:A36)</f>
        <v/>
      </c>
    </row>
    <row r="8">
      <c r="A8" s="14" t="inlineStr">
        <is>
          <t>20260629 HOK ADHDcentraal BV (1).pdf</t>
        </is>
      </c>
      <c r="B8" s="14" t="inlineStr">
        <is>
          <t>One Time</t>
        </is>
      </c>
      <c r="C8" s="15" t="inlineStr">
        <is>
          <t>One Time</t>
        </is>
      </c>
      <c r="D8" s="14" t="n"/>
      <c r="E8" s="14" t="n"/>
      <c r="F8" s="14" t="n"/>
      <c r="G8" s="14" t="n"/>
      <c r="H8" s="14" t="n">
        <v>0.9366786140979689</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One Time</t>
        </is>
      </c>
      <c r="C9" s="15" t="inlineStr">
        <is>
          <t>One Time</t>
        </is>
      </c>
      <c r="D9" s="14" t="n"/>
      <c r="E9" s="14" t="n"/>
      <c r="F9" s="14" t="n"/>
      <c r="G9" s="14" t="n"/>
      <c r="H9" s="14" t="n">
        <v>0.888888888888889</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n"/>
      <c r="D10" s="14" t="n"/>
      <c r="E10" s="14" t="n"/>
      <c r="F10" s="14" t="n"/>
      <c r="G10" s="14" t="n"/>
      <c r="H10" s="14" t="n"/>
      <c r="K10" s="20" t="inlineStr">
        <is>
          <t>Highlighted rows = file(s) not in the annotation sheet; excluded from all metrics above.</t>
        </is>
      </c>
    </row>
    <row r="11">
      <c r="A11" s="14" t="inlineStr">
        <is>
          <t>20270801 - Getekende Allonge II Advario BV.pdf</t>
        </is>
      </c>
      <c r="B11" s="14" t="n"/>
      <c r="C11" s="15" t="n"/>
      <c r="D11" s="14" t="n"/>
      <c r="E11" s="14" t="n"/>
      <c r="F11" s="14" t="n"/>
      <c r="G11" s="14" t="n"/>
      <c r="H11" s="14" t="n"/>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n"/>
      <c r="C13" s="15" t="n"/>
      <c r="D13" s="14" t="n"/>
      <c r="E13" s="14" t="n"/>
      <c r="F13" s="14" t="n"/>
      <c r="G13" s="14" t="n"/>
      <c r="H13" s="14" t="n"/>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One Time</t>
        </is>
      </c>
      <c r="C16" s="15" t="inlineStr">
        <is>
          <t>One Time</t>
        </is>
      </c>
      <c r="D16" s="14" t="n"/>
      <c r="E16" s="14" t="n"/>
      <c r="F16" s="14" t="n"/>
      <c r="G16" s="14" t="n"/>
      <c r="H16" s="14" t="n">
        <v>0.9389448725548312</v>
      </c>
      <c r="K16" t="n">
        <v>100</v>
      </c>
      <c r="M16" t="inlineStr">
        <is>
          <t>FN</t>
        </is>
      </c>
    </row>
    <row r="17">
      <c r="A17" s="14" t="inlineStr">
        <is>
          <t>COMPL Huurovereenkomst - Stichting CCE - Kantoorgebouw Metzpoint I Dr. Holtroplaan - Fully Signed.pdf</t>
        </is>
      </c>
      <c r="B17" s="14" t="inlineStr">
        <is>
          <t>One Time</t>
        </is>
      </c>
      <c r="C17" s="15" t="inlineStr">
        <is>
          <t>One Time</t>
        </is>
      </c>
      <c r="D17" s="14" t="n"/>
      <c r="E17" s="14" t="n"/>
      <c r="F17" s="14" t="n"/>
      <c r="G17" s="14" t="n"/>
      <c r="H17" s="14" t="n">
        <v>0.9389448725548312</v>
      </c>
      <c r="M17" t="inlineStr">
        <is>
          <t>TN</t>
        </is>
      </c>
    </row>
    <row r="18">
      <c r="A18" s="14" t="inlineStr">
        <is>
          <t>COMPL Regel Partners - HOVK - Luchthavenweg 81 - 20260728.pdf</t>
        </is>
      </c>
      <c r="B18" s="14" t="n"/>
      <c r="C18" s="15" t="n"/>
      <c r="D18" s="14" t="n"/>
      <c r="E18" s="14" t="n"/>
      <c r="F18" s="14" t="n"/>
      <c r="G18" s="14" t="n"/>
      <c r="H18" s="14" t="n"/>
    </row>
    <row r="19">
      <c r="A19" s="14" t="inlineStr">
        <is>
          <t>COMPL_-_Onderhuurovereenkomst_Zelfstroom_B.V._-_50five_B.V._-_kantoorgebouw_Riva_-_05032026.pdf</t>
        </is>
      </c>
      <c r="B19" s="14" t="n"/>
      <c r="C19" s="15" t="n"/>
      <c r="D19" s="14" t="n"/>
      <c r="E19" s="14" t="n"/>
      <c r="F19" s="14" t="n"/>
      <c r="G19" s="14" t="n"/>
      <c r="H19" s="14" t="n"/>
      <c r="K19" s="17" t="inlineStr">
        <is>
          <t>Field:</t>
        </is>
      </c>
      <c r="L19" t="inlineStr">
        <is>
          <t>Terms / Ref_tenant_improvement_allowance_uom_desc</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n"/>
      <c r="D21" s="14" t="n"/>
      <c r="E21" s="14" t="n"/>
      <c r="F21" s="14" t="n"/>
      <c r="G21" s="14" t="n"/>
      <c r="H21" s="14" t="n"/>
    </row>
    <row r="22">
      <c r="A22" s="14" t="inlineStr">
        <is>
          <t>FULLY SIGNED - DEF_COMPL_Huurovereenkomst_Robo_Charge_-_Campus_Offices_-_20260220.pdf</t>
        </is>
      </c>
      <c r="B22" s="14" t="n"/>
      <c r="C22" s="15" t="n"/>
      <c r="D22" s="14" t="n"/>
      <c r="E22" s="14" t="n"/>
      <c r="F22" s="14" t="n"/>
      <c r="G22" s="14" t="n"/>
      <c r="H22" s="14" t="n"/>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inlineStr">
        <is>
          <t>Per Square Meter</t>
        </is>
      </c>
      <c r="C24" s="15" t="inlineStr">
        <is>
          <t>Per Square Meter</t>
        </is>
      </c>
      <c r="D24" s="14" t="n"/>
      <c r="E24" s="14" t="n"/>
      <c r="F24" s="14" t="n"/>
      <c r="G24" s="14" t="n"/>
      <c r="H24" s="14" t="n">
        <v>0.8181818181818182</v>
      </c>
    </row>
    <row r="25">
      <c r="A25" s="14" t="inlineStr">
        <is>
          <t>FullySigned_Allonge_II_Virtual_Vaults_Nederland.pdf</t>
        </is>
      </c>
      <c r="B25" s="14" t="n"/>
      <c r="C25" s="15" t="n"/>
      <c r="D25" s="14" t="n"/>
      <c r="E25" s="14" t="n"/>
      <c r="F25" s="14" t="n"/>
      <c r="G25" s="14" t="n"/>
      <c r="H25" s="14" t="n"/>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inlineStr">
        <is>
          <t>One Time</t>
        </is>
      </c>
      <c r="C27" s="15" t="inlineStr">
        <is>
          <t>One Time</t>
        </is>
      </c>
      <c r="D27" s="14" t="n"/>
      <c r="E27" s="14" t="n"/>
      <c r="F27" s="14" t="n"/>
      <c r="G27" s="14" t="n"/>
      <c r="H27" s="14" t="n">
        <v>0.9366786140979689</v>
      </c>
    </row>
    <row r="28">
      <c r="A28" s="14" t="inlineStr">
        <is>
          <t>Hovk Avans  (3e+4e+5e verd.) 20140425.pdf</t>
        </is>
      </c>
      <c r="B28" s="14" t="n"/>
      <c r="C28" s="15" t="n"/>
      <c r="D28" s="14" t="n"/>
      <c r="E28" s="14" t="n"/>
      <c r="F28" s="14" t="n"/>
      <c r="G28" s="14" t="n"/>
      <c r="H28" s="14" t="n"/>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inlineStr">
        <is>
          <t>One Time</t>
        </is>
      </c>
      <c r="C32" s="15" t="inlineStr">
        <is>
          <t>One Time</t>
        </is>
      </c>
      <c r="D32" s="14" t="n"/>
      <c r="E32" s="14" t="n"/>
      <c r="F32" s="14" t="n"/>
      <c r="G32" s="14" t="n"/>
      <c r="H32" s="14" t="n">
        <v>0.9389448725548312</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n"/>
      <c r="D35" s="14" t="n"/>
      <c r="E35" s="14" t="n"/>
      <c r="F35" s="14" t="n"/>
      <c r="G35" s="14" t="n"/>
      <c r="H35" s="14" t="n"/>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27</t>
        </is>
      </c>
      <c r="C4" s="15" t="inlineStr">
        <is>
          <t>27</t>
        </is>
      </c>
      <c r="D4" s="14" t="n"/>
      <c r="E4" s="14" t="n"/>
      <c r="F4" s="14" t="n"/>
      <c r="G4" s="14" t="n"/>
      <c r="H4" s="14" t="n">
        <v>0.9763104298424268</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2</t>
        </is>
      </c>
      <c r="C5" s="15" t="inlineStr">
        <is>
          <t>2</t>
        </is>
      </c>
      <c r="D5" s="14" t="n"/>
      <c r="E5" s="14" t="n"/>
      <c r="F5" s="14" t="n"/>
      <c r="G5" s="14" t="n"/>
      <c r="H5" s="14" t="n">
        <v>0.9738604450205229</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2</t>
        </is>
      </c>
      <c r="C7" s="15" t="inlineStr">
        <is>
          <t>2</t>
        </is>
      </c>
      <c r="D7" s="14" t="n"/>
      <c r="E7" s="14" t="n"/>
      <c r="F7" s="14" t="n"/>
      <c r="G7" s="14" t="n"/>
      <c r="H7" s="14" t="n">
        <v>0.9763104298424268</v>
      </c>
      <c r="K7" s="17" t="inlineStr">
        <is>
          <t>Total Docs Tested</t>
        </is>
      </c>
      <c r="L7" s="19">
        <f>COUNTA(A2:A36)</f>
        <v/>
      </c>
      <c r="N7" s="17" t="inlineStr">
        <is>
          <t>Total Docs Tested</t>
        </is>
      </c>
      <c r="O7" s="19">
        <f>COUNTA(A2:A36)</f>
        <v/>
      </c>
    </row>
    <row r="8">
      <c r="A8" s="14" t="inlineStr">
        <is>
          <t>20260629 HOK ADHDcentraal BV (1).pdf</t>
        </is>
      </c>
      <c r="B8" s="14" t="inlineStr">
        <is>
          <t>5</t>
        </is>
      </c>
      <c r="C8" s="15" t="inlineStr">
        <is>
          <t>5</t>
        </is>
      </c>
      <c r="D8" s="14" t="n"/>
      <c r="E8" s="14" t="n"/>
      <c r="F8" s="14" t="n"/>
      <c r="G8" s="14" t="n"/>
      <c r="H8" s="14" t="n">
        <v>0.9738604450205229</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4</t>
        </is>
      </c>
      <c r="C10" s="15" t="inlineStr">
        <is>
          <t>4</t>
        </is>
      </c>
      <c r="D10" s="14" t="n"/>
      <c r="E10" s="14" t="n"/>
      <c r="F10" s="14" t="n"/>
      <c r="G10" s="14" t="n"/>
      <c r="H10" s="14" t="n">
        <v>0.9662797125483693</v>
      </c>
      <c r="K10" s="20" t="inlineStr">
        <is>
          <t>Highlighted rows = file(s) not in the annotation sheet; excluded from all metrics above.</t>
        </is>
      </c>
    </row>
    <row r="11">
      <c r="A11" s="14" t="inlineStr">
        <is>
          <t>20270801 - Getekende Allonge II Advario BV.pdf</t>
        </is>
      </c>
      <c r="B11" s="14" t="inlineStr">
        <is>
          <t>10</t>
        </is>
      </c>
      <c r="C11" s="15" t="inlineStr">
        <is>
          <t>10</t>
        </is>
      </c>
      <c r="D11" s="14" t="n"/>
      <c r="E11" s="14" t="n"/>
      <c r="F11" s="14" t="n"/>
      <c r="G11" s="14" t="n"/>
      <c r="H11" s="14" t="n">
        <v>0.9763104298424268</v>
      </c>
      <c r="K11" s="17" t="inlineStr">
        <is>
          <t>Validation Rules Example</t>
        </is>
      </c>
    </row>
    <row r="12">
      <c r="A12" s="14" t="inlineStr">
        <is>
          <t>240119 HOVK Spoorlaan 446-448 Tilburg signed.pdf</t>
        </is>
      </c>
      <c r="B12" s="14" t="inlineStr">
        <is>
          <t>49</t>
        </is>
      </c>
      <c r="C12" s="15" t="inlineStr">
        <is>
          <t>49</t>
        </is>
      </c>
      <c r="D12" s="14" t="n"/>
      <c r="E12" s="14" t="n"/>
      <c r="F12" s="14" t="n"/>
      <c r="G12" s="14" t="n"/>
      <c r="H12" s="14" t="n">
        <v>0.952819332566168</v>
      </c>
      <c r="K12" s="16" t="inlineStr">
        <is>
          <t>Manual Data</t>
        </is>
      </c>
      <c r="L12" s="16" t="inlineStr">
        <is>
          <t>Response Data</t>
        </is>
      </c>
      <c r="M12" s="16" t="inlineStr">
        <is>
          <t>Result</t>
        </is>
      </c>
    </row>
    <row r="13">
      <c r="A13" s="14" t="inlineStr">
        <is>
          <t>27001 Rijksvastgoedbedrijf Huurovereenkomst - __27-01-2026_9-07-56.pdf</t>
        </is>
      </c>
      <c r="B13" s="14" t="inlineStr">
        <is>
          <t>47</t>
        </is>
      </c>
      <c r="C13" s="15" t="inlineStr">
        <is>
          <t>47</t>
        </is>
      </c>
      <c r="D13" s="14" t="n"/>
      <c r="E13" s="14" t="n"/>
      <c r="F13" s="14" t="n"/>
      <c r="G13" s="14" t="n"/>
      <c r="H13" s="14" t="n">
        <v>0.971372591705671</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10</t>
        </is>
      </c>
      <c r="C16" s="15" t="inlineStr">
        <is>
          <t>10</t>
        </is>
      </c>
      <c r="D16" s="14" t="n"/>
      <c r="E16" s="14" t="n"/>
      <c r="F16" s="14" t="n"/>
      <c r="G16" s="14" t="n"/>
      <c r="H16" s="14" t="n">
        <v>0.9738604450205229</v>
      </c>
      <c r="K16" t="n">
        <v>100</v>
      </c>
      <c r="M16" t="inlineStr">
        <is>
          <t>FN</t>
        </is>
      </c>
    </row>
    <row r="17">
      <c r="A17" s="14" t="inlineStr">
        <is>
          <t>COMPL Huurovereenkomst - Stichting CCE - Kantoorgebouw Metzpoint I Dr. Holtroplaan - Fully Signed.pdf</t>
        </is>
      </c>
      <c r="B17" s="14" t="inlineStr">
        <is>
          <t>6</t>
        </is>
      </c>
      <c r="C17" s="15" t="inlineStr">
        <is>
          <t>6</t>
        </is>
      </c>
      <c r="D17" s="14" t="n"/>
      <c r="E17" s="14" t="n"/>
      <c r="F17" s="14" t="n"/>
      <c r="G17" s="14" t="n"/>
      <c r="H17" s="14" t="n">
        <v>1</v>
      </c>
      <c r="M17" t="inlineStr">
        <is>
          <t>TN</t>
        </is>
      </c>
    </row>
    <row r="18">
      <c r="A18" s="14" t="inlineStr">
        <is>
          <t>COMPL Regel Partners - HOVK - Luchthavenweg 81 - 20260728.pdf</t>
        </is>
      </c>
      <c r="B18" s="14" t="inlineStr">
        <is>
          <t>10</t>
        </is>
      </c>
      <c r="C18" s="15" t="inlineStr">
        <is>
          <t>10</t>
        </is>
      </c>
      <c r="D18" s="14" t="n"/>
      <c r="E18" s="14" t="n"/>
      <c r="F18" s="14" t="n"/>
      <c r="G18" s="14" t="n"/>
      <c r="H18" s="14" t="n">
        <v>0.9738604450205229</v>
      </c>
    </row>
    <row r="19">
      <c r="A19" s="14" t="inlineStr">
        <is>
          <t>COMPL_-_Onderhuurovereenkomst_Zelfstroom_B.V._-_50five_B.V._-_kantoorgebouw_Riva_-_05032026.pdf</t>
        </is>
      </c>
      <c r="B19" s="14" t="inlineStr">
        <is>
          <t>15</t>
        </is>
      </c>
      <c r="C19" s="15" t="inlineStr">
        <is>
          <t>15</t>
        </is>
      </c>
      <c r="D19" s="14" t="n"/>
      <c r="E19" s="14" t="n"/>
      <c r="F19" s="14" t="n"/>
      <c r="G19" s="14" t="n"/>
      <c r="H19" s="14" t="n">
        <v>0.9583333333333334</v>
      </c>
      <c r="K19" s="17" t="inlineStr">
        <is>
          <t>Field:</t>
        </is>
      </c>
      <c r="L19" t="inlineStr">
        <is>
          <t>Terms / Reserved_Parking_Spaces</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inlineStr">
        <is>
          <t>2</t>
        </is>
      </c>
      <c r="C21" s="15" t="inlineStr">
        <is>
          <t>2</t>
        </is>
      </c>
      <c r="D21" s="14" t="n"/>
      <c r="E21" s="14" t="n"/>
      <c r="F21" s="14" t="n"/>
      <c r="G21" s="14" t="n"/>
      <c r="H21" s="14" t="n">
        <v>0.9705882352941176</v>
      </c>
    </row>
    <row r="22">
      <c r="A22" s="14" t="inlineStr">
        <is>
          <t>FULLY SIGNED - DEF_COMPL_Huurovereenkomst_Robo_Charge_-_Campus_Offices_-_20260220.pdf</t>
        </is>
      </c>
      <c r="B22" s="14" t="inlineStr">
        <is>
          <t>5</t>
        </is>
      </c>
      <c r="C22" s="15" t="inlineStr">
        <is>
          <t>5</t>
        </is>
      </c>
      <c r="D22" s="14" t="n"/>
      <c r="E22" s="14" t="n"/>
      <c r="F22" s="14" t="n"/>
      <c r="G22" s="14" t="n"/>
      <c r="H22" s="14" t="n">
        <v>0.9763104298424268</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inlineStr">
        <is>
          <t>20</t>
        </is>
      </c>
      <c r="C24" s="15" t="inlineStr">
        <is>
          <t>20</t>
        </is>
      </c>
      <c r="D24" s="14" t="n"/>
      <c r="E24" s="14" t="n"/>
      <c r="F24" s="14" t="n"/>
      <c r="G24" s="14" t="n"/>
      <c r="H24" s="14" t="n">
        <v>0.9583333333333334</v>
      </c>
    </row>
    <row r="25">
      <c r="A25" s="14" t="inlineStr">
        <is>
          <t>FullySigned_Allonge_II_Virtual_Vaults_Nederland.pdf</t>
        </is>
      </c>
      <c r="B25" s="14" t="inlineStr">
        <is>
          <t>33</t>
        </is>
      </c>
      <c r="C25" s="15" t="inlineStr">
        <is>
          <t>33</t>
        </is>
      </c>
      <c r="D25" s="14" t="n"/>
      <c r="E25" s="14" t="n"/>
      <c r="F25" s="14" t="n"/>
      <c r="G25" s="14" t="n"/>
      <c r="H25" s="14" t="n">
        <v>0.9738604450205229</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inlineStr">
        <is>
          <t>15</t>
        </is>
      </c>
      <c r="C27" s="15" t="inlineStr">
        <is>
          <t>15</t>
        </is>
      </c>
      <c r="D27" s="14" t="n"/>
      <c r="E27" s="14" t="n"/>
      <c r="F27" s="14" t="n"/>
      <c r="G27" s="14" t="n"/>
      <c r="H27" s="14" t="n">
        <v>0.971372591705671</v>
      </c>
    </row>
    <row r="28">
      <c r="A28" s="14" t="inlineStr">
        <is>
          <t>Hovk Avans  (3e+4e+5e verd.) 20140425.pdf</t>
        </is>
      </c>
      <c r="B28" s="14" t="inlineStr">
        <is>
          <t>43</t>
        </is>
      </c>
      <c r="C28" s="15" t="inlineStr">
        <is>
          <t>43</t>
        </is>
      </c>
      <c r="D28" s="14" t="n"/>
      <c r="E28" s="14" t="n"/>
      <c r="F28" s="14" t="n"/>
      <c r="G28" s="14" t="n"/>
      <c r="H28" s="14" t="n">
        <v>0.9763104298424268</v>
      </c>
    </row>
    <row r="29">
      <c r="A29" s="14" t="inlineStr">
        <is>
          <t>HOVK Power4People 2025.pdf</t>
        </is>
      </c>
      <c r="B29" s="14" t="inlineStr">
        <is>
          <t>1</t>
        </is>
      </c>
      <c r="C29" s="15" t="inlineStr">
        <is>
          <t>1</t>
        </is>
      </c>
      <c r="D29" s="14" t="n"/>
      <c r="E29" s="14" t="n"/>
      <c r="F29" s="14" t="n"/>
      <c r="G29" s="14" t="n"/>
      <c r="H29" s="14" t="n">
        <v>0.9473684210526316</v>
      </c>
    </row>
    <row r="30">
      <c r="A30" s="14" t="inlineStr">
        <is>
          <t>Huurovereenkomst (Semmie Group B.V.) - Wilhelminasingel 19, Breda.pdf</t>
        </is>
      </c>
      <c r="B30" s="14" t="inlineStr">
        <is>
          <t>2</t>
        </is>
      </c>
      <c r="C30" s="15" t="inlineStr">
        <is>
          <t>2</t>
        </is>
      </c>
      <c r="D30" s="14" t="n"/>
      <c r="E30" s="14" t="n"/>
      <c r="F30" s="14" t="n"/>
      <c r="G30" s="14" t="n"/>
      <c r="H30" s="14" t="n">
        <v>0.9705882352941176</v>
      </c>
    </row>
    <row r="31">
      <c r="A31" s="14" t="inlineStr">
        <is>
          <t>Huurovereenkomst - proces-verbaal van oplevering - sleuteloverdracht - Kennedyplein 101 - getekend.pdf</t>
        </is>
      </c>
      <c r="B31" s="14" t="inlineStr">
        <is>
          <t>0</t>
        </is>
      </c>
      <c r="C31" s="15" t="inlineStr">
        <is>
          <t>0</t>
        </is>
      </c>
      <c r="D31" s="14" t="n"/>
      <c r="E31" s="14" t="n"/>
      <c r="F31" s="14" t="n"/>
      <c r="G31" s="14" t="n"/>
      <c r="H31" s="14" t="n">
        <v>0.9763104298424268</v>
      </c>
    </row>
    <row r="32">
      <c r="A32" s="14" t="inlineStr">
        <is>
          <t>Huurovereenkomst Bijster 5 te Breda getekend.pdf</t>
        </is>
      </c>
      <c r="B32" s="14" t="inlineStr">
        <is>
          <t>10</t>
        </is>
      </c>
      <c r="C32" s="15" t="inlineStr">
        <is>
          <t>10</t>
        </is>
      </c>
      <c r="D32" s="14" t="n"/>
      <c r="E32" s="14" t="n"/>
      <c r="F32" s="14" t="n"/>
      <c r="G32" s="14" t="n"/>
      <c r="H32" s="14" t="n">
        <v>0.9763104298424268</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inlineStr">
        <is>
          <t>13</t>
        </is>
      </c>
      <c r="C35" s="15" t="inlineStr">
        <is>
          <t>13</t>
        </is>
      </c>
      <c r="D35" s="14" t="n"/>
      <c r="E35" s="14" t="n"/>
      <c r="F35" s="14" t="n"/>
      <c r="G35" s="14" t="n"/>
      <c r="H35" s="14" t="n">
        <v>0.9738604450205229</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60</t>
        </is>
      </c>
      <c r="C3" s="15" t="inlineStr">
        <is>
          <t>60</t>
        </is>
      </c>
      <c r="D3" s="14" t="n"/>
      <c r="E3" s="14" t="n"/>
      <c r="F3" s="14" t="n"/>
      <c r="G3" s="14" t="n"/>
      <c r="H3" s="14" t="n">
        <v>0.9530892448512585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76.9</t>
        </is>
      </c>
      <c r="C4" s="15" t="inlineStr">
        <is>
          <t>76.9</t>
        </is>
      </c>
      <c r="D4" s="14" t="n"/>
      <c r="E4" s="14" t="n"/>
      <c r="F4" s="14" t="n"/>
      <c r="G4" s="14" t="n"/>
      <c r="H4" s="14" t="n">
        <v>0.955435708203236</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55</t>
        </is>
      </c>
      <c r="C5" s="15" t="inlineStr">
        <is>
          <t>55</t>
        </is>
      </c>
      <c r="D5" s="14" t="n"/>
      <c r="E5" s="14" t="n"/>
      <c r="F5" s="14" t="n"/>
      <c r="G5" s="14" t="n"/>
      <c r="H5" s="14" t="n">
        <v>0.955435708203236</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60</t>
        </is>
      </c>
      <c r="C7" s="15" t="inlineStr">
        <is>
          <t>60</t>
        </is>
      </c>
      <c r="D7" s="14" t="n"/>
      <c r="E7" s="14" t="n"/>
      <c r="F7" s="14" t="n"/>
      <c r="G7" s="14" t="n"/>
      <c r="H7" s="14" t="n">
        <v>0.955435708203236</v>
      </c>
      <c r="K7" s="17" t="inlineStr">
        <is>
          <t>Total Docs Tested</t>
        </is>
      </c>
      <c r="L7" s="19">
        <f>COUNTA(A2:A36)</f>
        <v/>
      </c>
      <c r="N7" s="17" t="inlineStr">
        <is>
          <t>Total Docs Tested</t>
        </is>
      </c>
      <c r="O7" s="19">
        <f>COUNTA(A2:A36)</f>
        <v/>
      </c>
    </row>
    <row r="8">
      <c r="A8" s="14" t="inlineStr">
        <is>
          <t>20260629 HOK ADHDcentraal BV (1).pdf</t>
        </is>
      </c>
      <c r="B8" s="14" t="inlineStr">
        <is>
          <t>55</t>
        </is>
      </c>
      <c r="C8" s="15" t="inlineStr">
        <is>
          <t>55</t>
        </is>
      </c>
      <c r="D8" s="14" t="n"/>
      <c r="E8" s="14" t="n"/>
      <c r="F8" s="14" t="n"/>
      <c r="G8" s="14" t="n"/>
      <c r="H8" s="14" t="n">
        <v>0.955435708203236</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9.557</t>
        </is>
      </c>
      <c r="C9" s="15" t="inlineStr">
        <is>
          <t>9.557</t>
        </is>
      </c>
      <c r="D9" s="14" t="n"/>
      <c r="E9" s="14" t="n"/>
      <c r="F9" s="14" t="n">
        <v>7</v>
      </c>
      <c r="G9" s="14" t="n"/>
      <c r="H9" s="14" t="n">
        <v>0.8170320404721755</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55</t>
        </is>
      </c>
      <c r="C10" s="15" t="inlineStr">
        <is>
          <t>55</t>
        </is>
      </c>
      <c r="D10" s="14" t="n"/>
      <c r="E10" s="14" t="n"/>
      <c r="F10" s="14" t="n"/>
      <c r="G10" s="14" t="n"/>
      <c r="H10" s="14" t="n">
        <v>0.955435708203236</v>
      </c>
      <c r="K10" s="20" t="inlineStr">
        <is>
          <t>Highlighted rows = file(s) not in the annotation sheet; excluded from all metrics above.</t>
        </is>
      </c>
    </row>
    <row r="11">
      <c r="A11" s="14" t="inlineStr">
        <is>
          <t>20270801 - Getekende Allonge II Advario BV.pdf</t>
        </is>
      </c>
      <c r="B11" s="14" t="inlineStr">
        <is>
          <t>90</t>
        </is>
      </c>
      <c r="C11" s="15" t="inlineStr">
        <is>
          <t>90</t>
        </is>
      </c>
      <c r="D11" s="14" t="n"/>
      <c r="E11" s="14" t="inlineStr">
        <is>
          <t>4</t>
        </is>
      </c>
      <c r="F11" s="14" t="n"/>
      <c r="G11" s="14" t="n"/>
      <c r="H11" s="14" t="n">
        <v>0.9189189189189189</v>
      </c>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inlineStr">
        <is>
          <t>20</t>
        </is>
      </c>
      <c r="C13" s="15" t="inlineStr">
        <is>
          <t>20</t>
        </is>
      </c>
      <c r="D13" s="14" t="n"/>
      <c r="E13" s="14" t="n"/>
      <c r="F13" s="14" t="n"/>
      <c r="G13" s="14" t="n"/>
      <c r="H13" s="14" t="n">
        <v>0.955435708203236</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52.5</t>
        </is>
      </c>
      <c r="C16" s="15" t="inlineStr">
        <is>
          <t>52.5</t>
        </is>
      </c>
      <c r="D16" s="14" t="n"/>
      <c r="E16" s="14" t="n"/>
      <c r="F16" s="14" t="n"/>
      <c r="G16" s="14" t="n"/>
      <c r="H16" s="14" t="n">
        <v>0.955435708203236</v>
      </c>
      <c r="K16" t="n">
        <v>100</v>
      </c>
      <c r="M16" t="inlineStr">
        <is>
          <t>FN</t>
        </is>
      </c>
    </row>
    <row r="17">
      <c r="A17" s="14" t="inlineStr">
        <is>
          <t>COMPL Huurovereenkomst - Stichting CCE - Kantoorgebouw Metzpoint I Dr. Holtroplaan - Fully Signed.pdf</t>
        </is>
      </c>
      <c r="B17" s="14" t="inlineStr">
        <is>
          <t>65</t>
        </is>
      </c>
      <c r="C17" s="15" t="inlineStr">
        <is>
          <t>65</t>
        </is>
      </c>
      <c r="D17" s="14" t="n"/>
      <c r="E17" s="14" t="n"/>
      <c r="F17" s="14" t="n"/>
      <c r="G17" s="14" t="n"/>
      <c r="H17" s="14" t="n">
        <v>0.955435708203236</v>
      </c>
      <c r="M17" t="inlineStr">
        <is>
          <t>TN</t>
        </is>
      </c>
    </row>
    <row r="18">
      <c r="A18" s="14" t="inlineStr">
        <is>
          <t>COMPL Regel Partners - HOVK - Luchthavenweg 81 - 20260728.pdf</t>
        </is>
      </c>
      <c r="B18" s="14" t="inlineStr">
        <is>
          <t>45</t>
        </is>
      </c>
      <c r="C18" s="15" t="inlineStr">
        <is>
          <t>45</t>
        </is>
      </c>
      <c r="D18" s="14" t="n"/>
      <c r="E18" s="14" t="n"/>
      <c r="F18" s="14" t="n"/>
      <c r="G18" s="14" t="n"/>
      <c r="H18" s="14" t="n">
        <v>0.9530892448512585</v>
      </c>
    </row>
    <row r="19">
      <c r="A19" s="14" t="inlineStr">
        <is>
          <t>COMPL_-_Onderhuurovereenkomst_Zelfstroom_B.V._-_50five_B.V._-_kantoorgebouw_Riva_-_05032026.pdf</t>
        </is>
      </c>
      <c r="B19" s="14" t="inlineStr">
        <is>
          <t>74</t>
        </is>
      </c>
      <c r="C19" s="15" t="inlineStr">
        <is>
          <t>74</t>
        </is>
      </c>
      <c r="D19" s="14" t="n"/>
      <c r="E19" s="14" t="n"/>
      <c r="F19" s="14" t="n"/>
      <c r="G19" s="14" t="n"/>
      <c r="H19" s="14" t="n">
        <v>0.955435708203236</v>
      </c>
      <c r="K19" s="17" t="inlineStr">
        <is>
          <t>Field:</t>
        </is>
      </c>
      <c r="L19" t="inlineStr">
        <is>
          <t>Terms / Service_Charge_Per_Area_Value</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inlineStr">
        <is>
          <t>60</t>
        </is>
      </c>
      <c r="C21" s="15" t="inlineStr">
        <is>
          <t>60</t>
        </is>
      </c>
      <c r="D21" s="14" t="n"/>
      <c r="E21" s="14" t="n"/>
      <c r="F21" s="14" t="n"/>
      <c r="G21" s="14" t="n"/>
      <c r="H21" s="14" t="n">
        <v>0.9189189189189189</v>
      </c>
    </row>
    <row r="22">
      <c r="A22" s="14" t="inlineStr">
        <is>
          <t>FULLY SIGNED - DEF_COMPL_Huurovereenkomst_Robo_Charge_-_Campus_Offices_-_20260220.pdf</t>
        </is>
      </c>
      <c r="B22" s="14" t="inlineStr">
        <is>
          <t>55</t>
        </is>
      </c>
      <c r="C22" s="15" t="inlineStr">
        <is>
          <t>55</t>
        </is>
      </c>
      <c r="D22" s="14" t="n"/>
      <c r="E22" s="14" t="n"/>
      <c r="F22" s="14" t="n"/>
      <c r="G22" s="14" t="n"/>
      <c r="H22" s="14" t="n">
        <v>0.9189189189189189</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inlineStr">
        <is>
          <t>60</t>
        </is>
      </c>
      <c r="C24" s="15" t="inlineStr">
        <is>
          <t>60</t>
        </is>
      </c>
      <c r="D24" s="14" t="n"/>
      <c r="E24" s="14" t="n"/>
      <c r="F24" s="14" t="n"/>
      <c r="G24" s="14" t="n"/>
      <c r="H24" s="14" t="n">
        <v>1</v>
      </c>
    </row>
    <row r="25">
      <c r="A25" s="14" t="inlineStr">
        <is>
          <t>FullySigned_Allonge_II_Virtual_Vaults_Nederland.pdf</t>
        </is>
      </c>
      <c r="B25" s="14" t="inlineStr">
        <is>
          <t>44</t>
        </is>
      </c>
      <c r="C25" s="15" t="inlineStr">
        <is>
          <t>44</t>
        </is>
      </c>
      <c r="D25" s="14" t="n"/>
      <c r="E25" s="14" t="n"/>
      <c r="F25" s="14" t="n"/>
      <c r="G25" s="14" t="n"/>
      <c r="H25" s="14" t="n">
        <v>0.9189189189189189</v>
      </c>
    </row>
    <row r="26">
      <c r="A26" s="14" t="inlineStr">
        <is>
          <t>FullySigned_Lease_Agreement_Neste_EDGE_Coolsingel.pdf</t>
        </is>
      </c>
      <c r="B26" s="14" t="inlineStr">
        <is>
          <t>20</t>
        </is>
      </c>
      <c r="C26" s="15" t="inlineStr">
        <is>
          <t>20</t>
        </is>
      </c>
      <c r="D26" s="14" t="n"/>
      <c r="E26" s="14" t="n"/>
      <c r="F26" s="14" t="n"/>
      <c r="G26" s="14" t="n"/>
      <c r="H26" s="14" t="n">
        <v>0.9458272327964862</v>
      </c>
    </row>
    <row r="27">
      <c r="A27" s="14" t="inlineStr">
        <is>
          <t>HOK Waalhaven Group (signed).pdf</t>
        </is>
      </c>
      <c r="B27" s="14" t="inlineStr">
        <is>
          <t>35</t>
        </is>
      </c>
      <c r="C27" s="15" t="inlineStr">
        <is>
          <t>35</t>
        </is>
      </c>
      <c r="D27" s="14" t="n"/>
      <c r="E27" s="14" t="n"/>
      <c r="F27" s="14" t="n"/>
      <c r="G27" s="14" t="n"/>
      <c r="H27" s="14" t="n">
        <v>0.955435708203236</v>
      </c>
    </row>
    <row r="28">
      <c r="A28" s="14" t="inlineStr">
        <is>
          <t>Hovk Avans  (3e+4e+5e verd.) 20140425.pdf</t>
        </is>
      </c>
      <c r="B28" s="14" t="inlineStr">
        <is>
          <t>35</t>
        </is>
      </c>
      <c r="C28" s="15" t="inlineStr">
        <is>
          <t>35</t>
        </is>
      </c>
      <c r="D28" s="14" t="n"/>
      <c r="E28" s="14" t="n"/>
      <c r="F28" s="14" t="n"/>
      <c r="G28" s="14" t="n"/>
      <c r="H28" s="14" t="n">
        <v>0.9530892448512585</v>
      </c>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inlineStr">
        <is>
          <t>279.58</t>
        </is>
      </c>
      <c r="C30" s="15" t="inlineStr">
        <is>
          <t>279.58</t>
        </is>
      </c>
      <c r="D30" s="14" t="n"/>
      <c r="E30" s="14" t="n"/>
      <c r="F30" s="14" t="n"/>
      <c r="G30" s="14" t="n"/>
      <c r="H30" s="14" t="n">
        <v>0.9530892448512585</v>
      </c>
    </row>
    <row r="31">
      <c r="A31" s="14" t="inlineStr">
        <is>
          <t>Huurovereenkomst - proces-verbaal van oplevering - sleuteloverdracht - Kennedyplein 101 - getekend.pdf</t>
        </is>
      </c>
      <c r="B31" s="14" t="inlineStr">
        <is>
          <t>55</t>
        </is>
      </c>
      <c r="C31" s="15" t="inlineStr">
        <is>
          <t>55</t>
        </is>
      </c>
      <c r="D31" s="14" t="n"/>
      <c r="E31" s="14" t="n"/>
      <c r="F31" s="14" t="n"/>
      <c r="G31" s="14" t="n"/>
      <c r="H31" s="14" t="n">
        <v>0.955435708203236</v>
      </c>
    </row>
    <row r="32">
      <c r="A32" s="14" t="inlineStr">
        <is>
          <t>Huurovereenkomst Bijster 5 te Breda getekend.pdf</t>
        </is>
      </c>
      <c r="B32" s="14" t="n"/>
      <c r="C32" s="15" t="n"/>
      <c r="D32" s="14" t="n"/>
      <c r="E32" s="14" t="n"/>
      <c r="F32" s="14" t="n"/>
      <c r="G32" s="14" t="n"/>
      <c r="H32" s="14" t="n"/>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inlineStr">
        <is>
          <t>35</t>
        </is>
      </c>
      <c r="C35" s="15" t="inlineStr">
        <is>
          <t>35</t>
        </is>
      </c>
      <c r="D35" s="14" t="n"/>
      <c r="E35" s="14" t="n"/>
      <c r="F35" s="14" t="n"/>
      <c r="G35" s="14" t="n"/>
      <c r="H35" s="14" t="n">
        <v>0.9189189189189189</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881624</t>
        </is>
      </c>
      <c r="C4" s="15" t="inlineStr">
        <is>
          <t>881624</t>
        </is>
      </c>
      <c r="D4" s="14" t="n"/>
      <c r="E4" s="14" t="n"/>
      <c r="F4" s="14" t="n"/>
      <c r="G4" s="14" t="n"/>
      <c r="H4" s="14" t="n">
        <v>0.8</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n"/>
      <c r="D5" s="14" t="n"/>
      <c r="E5" s="14" t="n"/>
      <c r="F5" s="14" t="n"/>
      <c r="G5" s="14" t="n"/>
      <c r="H5" s="14" t="n"/>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n"/>
      <c r="D7" s="14" t="n"/>
      <c r="E7" s="14" t="n"/>
      <c r="F7" s="14" t="n"/>
      <c r="G7" s="14" t="n"/>
      <c r="H7" s="14" t="n"/>
      <c r="K7" s="17" t="inlineStr">
        <is>
          <t>Total Docs Tested</t>
        </is>
      </c>
      <c r="L7" s="19">
        <f>COUNTA(A2:A36)</f>
        <v/>
      </c>
      <c r="N7" s="17" t="inlineStr">
        <is>
          <t>Total Docs Tested</t>
        </is>
      </c>
      <c r="O7" s="19">
        <f>COUNTA(A2:A36)</f>
        <v/>
      </c>
    </row>
    <row r="8">
      <c r="A8" s="14" t="inlineStr">
        <is>
          <t>20260629 HOK ADHDcentraal BV (1).pdf</t>
        </is>
      </c>
      <c r="B8" s="14" t="inlineStr">
        <is>
          <t>12000</t>
        </is>
      </c>
      <c r="C8" s="15" t="inlineStr">
        <is>
          <t>12000</t>
        </is>
      </c>
      <c r="D8" s="14" t="n"/>
      <c r="E8" s="14" t="n"/>
      <c r="F8" s="14" t="n"/>
      <c r="G8" s="14" t="n"/>
      <c r="H8" s="14" t="n">
        <v>0.955435708203236</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300000</t>
        </is>
      </c>
      <c r="C9" s="15" t="inlineStr">
        <is>
          <t>300000</t>
        </is>
      </c>
      <c r="D9" s="14" t="n"/>
      <c r="E9" s="14" t="n"/>
      <c r="F9" s="14" t="n"/>
      <c r="G9" s="14" t="n"/>
      <c r="H9" s="14" t="n">
        <v>0.955435708203236</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n"/>
      <c r="D10" s="14" t="n"/>
      <c r="E10" s="14" t="n"/>
      <c r="F10" s="14" t="n"/>
      <c r="G10" s="14" t="n"/>
      <c r="H10" s="14" t="n"/>
      <c r="K10" s="20" t="inlineStr">
        <is>
          <t>Highlighted rows = file(s) not in the annotation sheet; excluded from all metrics above.</t>
        </is>
      </c>
    </row>
    <row r="11">
      <c r="A11" s="14" t="inlineStr">
        <is>
          <t>20270801 - Getekende Allonge II Advario BV.pdf</t>
        </is>
      </c>
      <c r="B11" s="14" t="n"/>
      <c r="C11" s="15" t="n"/>
      <c r="D11" s="14" t="n"/>
      <c r="E11" s="14" t="n"/>
      <c r="F11" s="14" t="n"/>
      <c r="G11" s="14" t="n"/>
      <c r="H11" s="14" t="n"/>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n"/>
      <c r="C13" s="15" t="n"/>
      <c r="D13" s="14" t="n"/>
      <c r="E13" s="14" t="n"/>
      <c r="F13" s="14" t="n"/>
      <c r="G13" s="14" t="n"/>
      <c r="H13" s="14" t="n"/>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81000</t>
        </is>
      </c>
      <c r="C16" s="15" t="inlineStr">
        <is>
          <t>81000</t>
        </is>
      </c>
      <c r="D16" s="14" t="n"/>
      <c r="E16" s="14" t="n"/>
      <c r="F16" s="14" t="n"/>
      <c r="G16" s="14" t="n"/>
      <c r="H16" s="14" t="n">
        <v>0.9189189189189189</v>
      </c>
      <c r="K16" t="n">
        <v>100</v>
      </c>
      <c r="M16" t="inlineStr">
        <is>
          <t>FN</t>
        </is>
      </c>
    </row>
    <row r="17">
      <c r="A17" s="14" t="inlineStr">
        <is>
          <t>COMPL Huurovereenkomst - Stichting CCE - Kantoorgebouw Metzpoint I Dr. Holtroplaan - Fully Signed.pdf</t>
        </is>
      </c>
      <c r="B17" s="14" t="inlineStr">
        <is>
          <t>40000</t>
        </is>
      </c>
      <c r="C17" s="15" t="inlineStr">
        <is>
          <t>40000</t>
        </is>
      </c>
      <c r="D17" s="14" t="n"/>
      <c r="E17" s="14" t="n"/>
      <c r="F17" s="14" t="n"/>
      <c r="G17" s="14" t="n"/>
      <c r="H17" s="14" t="n">
        <v>0.955435708203236</v>
      </c>
      <c r="M17" t="inlineStr">
        <is>
          <t>TN</t>
        </is>
      </c>
    </row>
    <row r="18">
      <c r="A18" s="14" t="inlineStr">
        <is>
          <t>COMPL Regel Partners - HOVK - Luchthavenweg 81 - 20260728.pdf</t>
        </is>
      </c>
      <c r="B18" s="14" t="inlineStr">
        <is>
          <t>10000</t>
        </is>
      </c>
      <c r="C18" s="15" t="inlineStr">
        <is>
          <t>10000</t>
        </is>
      </c>
      <c r="D18" s="14" t="n"/>
      <c r="E18" s="14" t="n"/>
      <c r="F18" s="14" t="n"/>
      <c r="G18" s="14" t="n"/>
      <c r="H18" s="14" t="n">
        <v>0.8470588235294118</v>
      </c>
    </row>
    <row r="19">
      <c r="A19" s="14" t="inlineStr">
        <is>
          <t>COMPL_-_Onderhuurovereenkomst_Zelfstroom_B.V._-_50five_B.V._-_kantoorgebouw_Riva_-_05032026.pdf</t>
        </is>
      </c>
      <c r="B19" s="14" t="inlineStr">
        <is>
          <t>62000</t>
        </is>
      </c>
      <c r="C19" s="15" t="inlineStr">
        <is>
          <t>62000</t>
        </is>
      </c>
      <c r="D19" s="14" t="n"/>
      <c r="E19" s="14" t="n"/>
      <c r="F19" s="14" t="n"/>
      <c r="G19" s="14" t="n"/>
      <c r="H19" s="14" t="n">
        <v>0.9530892448512585</v>
      </c>
      <c r="K19" s="17" t="inlineStr">
        <is>
          <t>Field:</t>
        </is>
      </c>
      <c r="L19" t="inlineStr">
        <is>
          <t>Terms / Tenant_Improvement_Allowance</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n"/>
      <c r="D21" s="14" t="n"/>
      <c r="E21" s="14" t="n"/>
      <c r="F21" s="14" t="n"/>
      <c r="G21" s="14" t="n"/>
      <c r="H21" s="14" t="n"/>
    </row>
    <row r="22">
      <c r="A22" s="14" t="inlineStr">
        <is>
          <t>FULLY SIGNED - DEF_COMPL_Huurovereenkomst_Robo_Charge_-_Campus_Offices_-_20260220.pdf</t>
        </is>
      </c>
      <c r="B22" s="14" t="n"/>
      <c r="C22" s="15" t="n"/>
      <c r="D22" s="14" t="n"/>
      <c r="E22" s="14" t="n"/>
      <c r="F22" s="14" t="n"/>
      <c r="G22" s="14" t="n"/>
      <c r="H22" s="14" t="n"/>
    </row>
    <row r="23">
      <c r="A23" s="14" t="inlineStr">
        <is>
          <t>FULLY SIGNED - Onderhuurovereenkomst Aartshertogenlaan 223, `s-Hertogenbosch - Koning Willem I College B.V. 2606202.pdf</t>
        </is>
      </c>
      <c r="B23" s="14" t="inlineStr">
        <is>
          <t>18000</t>
        </is>
      </c>
      <c r="C23" s="15" t="inlineStr">
        <is>
          <t>18000</t>
        </is>
      </c>
      <c r="D23" s="14" t="n"/>
      <c r="E23" s="14" t="n"/>
      <c r="F23" s="14" t="n"/>
      <c r="G23" s="14" t="n"/>
      <c r="H23" s="14" t="n">
        <v>0.8470588235294118</v>
      </c>
    </row>
    <row r="24">
      <c r="A24" s="14" t="inlineStr">
        <is>
          <t>FULLY SIGNED COMPL_DEF_Huurovereenkomst_Bond_Bergschot_Breda.pdf</t>
        </is>
      </c>
      <c r="B24" s="14" t="n"/>
      <c r="C24" s="15" t="n"/>
      <c r="D24" s="14" t="n"/>
      <c r="E24" s="14" t="n"/>
      <c r="F24" s="14" t="n"/>
      <c r="G24" s="14" t="n"/>
      <c r="H24" s="14" t="n"/>
    </row>
    <row r="25">
      <c r="A25" s="14" t="inlineStr">
        <is>
          <t>FullySigned_Allonge_II_Virtual_Vaults_Nederland.pdf</t>
        </is>
      </c>
      <c r="B25" s="14" t="inlineStr">
        <is>
          <t>150000</t>
        </is>
      </c>
      <c r="C25" s="15" t="inlineStr">
        <is>
          <t>150000</t>
        </is>
      </c>
      <c r="D25" s="14" t="n"/>
      <c r="E25" s="14" t="n"/>
      <c r="F25" s="14" t="n"/>
      <c r="G25" s="14" t="n"/>
      <c r="H25" s="14" t="n">
        <v>0.9530892448512585</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inlineStr">
        <is>
          <t>49600</t>
        </is>
      </c>
      <c r="C27" s="15" t="inlineStr">
        <is>
          <t>49600</t>
        </is>
      </c>
      <c r="D27" s="14" t="n"/>
      <c r="E27" s="14" t="n"/>
      <c r="F27" s="14" t="n"/>
      <c r="G27" s="14" t="n"/>
      <c r="H27" s="14" t="n">
        <v>0.9189189189189189</v>
      </c>
    </row>
    <row r="28">
      <c r="A28" s="14" t="inlineStr">
        <is>
          <t>Hovk Avans  (3e+4e+5e verd.) 20140425.pdf</t>
        </is>
      </c>
      <c r="B28" s="14" t="n"/>
      <c r="C28" s="15" t="n"/>
      <c r="D28" s="14" t="n"/>
      <c r="E28" s="14" t="n"/>
      <c r="F28" s="14" t="n"/>
      <c r="G28" s="14" t="n"/>
      <c r="H28" s="14" t="n"/>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inlineStr">
        <is>
          <t>120400</t>
        </is>
      </c>
      <c r="C32" s="15" t="inlineStr">
        <is>
          <t>120400</t>
        </is>
      </c>
      <c r="D32" s="14" t="n"/>
      <c r="E32" s="14" t="n"/>
      <c r="F32" s="14" t="n"/>
      <c r="G32" s="14" t="n"/>
      <c r="H32" s="14" t="n">
        <v>0.955435708203236</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n"/>
      <c r="D35" s="14" t="n"/>
      <c r="E35" s="14" t="n"/>
      <c r="F35" s="14" t="n"/>
      <c r="G35" s="14" t="n"/>
      <c r="H35" s="14" t="n"/>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10</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558</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2253</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31.5</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829</t>
        </is>
      </c>
      <c r="D6" s="14" t="n"/>
      <c r="E6" s="14" t="n"/>
      <c r="F6" s="14" t="n"/>
      <c r="G6" s="14" t="n"/>
      <c r="H6" s="14" t="n">
        <v>0.9695876288659794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139</t>
        </is>
      </c>
      <c r="D7" s="14" t="n"/>
      <c r="E7" s="14" t="n"/>
      <c r="F7" s="14" t="n"/>
      <c r="G7" s="14" t="n"/>
      <c r="H7" s="14" t="n">
        <v>0.9695876288659794</v>
      </c>
      <c r="K7" s="17" t="inlineStr">
        <is>
          <t>Total Docs Tested</t>
        </is>
      </c>
      <c r="L7" s="19">
        <f>COUNTA(A2:A36)</f>
        <v/>
      </c>
      <c r="N7" s="17" t="inlineStr">
        <is>
          <t>Total Docs Tested</t>
        </is>
      </c>
      <c r="O7" s="19">
        <f>COUNTA(A2:A36)</f>
        <v/>
      </c>
    </row>
    <row r="8">
      <c r="A8" s="14" t="inlineStr">
        <is>
          <t>20260629 HOK ADHDcentraal BV (1).pdf</t>
        </is>
      </c>
      <c r="B8" s="14" t="n"/>
      <c r="C8" s="15" t="inlineStr">
        <is>
          <t>218.7</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1226</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154.4</t>
        </is>
      </c>
      <c r="D10" s="14" t="n"/>
      <c r="E10" s="14" t="n"/>
      <c r="F10" s="14" t="n"/>
      <c r="G10" s="14" t="n"/>
      <c r="H10" s="14" t="n">
        <v>0.9598958333333334</v>
      </c>
      <c r="K10" s="20" t="inlineStr">
        <is>
          <t>Highlighted rows = file(s) not in the annotation sheet; excluded from all metrics above.</t>
        </is>
      </c>
    </row>
    <row r="11">
      <c r="A11" s="14" t="inlineStr">
        <is>
          <t>20270801 - Getekende Allonge II Advario BV.pdf</t>
        </is>
      </c>
      <c r="B11" s="14" t="n"/>
      <c r="C11" s="15" t="inlineStr">
        <is>
          <t>357.74</t>
        </is>
      </c>
      <c r="D11" s="14" t="n"/>
      <c r="E11" s="14" t="n"/>
      <c r="F11" s="14" t="n"/>
      <c r="G11" s="14" t="n"/>
      <c r="H11" s="14" t="n">
        <v>0.95</v>
      </c>
      <c r="K11" s="17" t="inlineStr">
        <is>
          <t>Validation Rules Example</t>
        </is>
      </c>
    </row>
    <row r="12">
      <c r="A12" s="14" t="inlineStr">
        <is>
          <t>240119 HOVK Spoorlaan 446-448 Tilburg signed.pdf</t>
        </is>
      </c>
      <c r="B12" s="14" t="n"/>
      <c r="C12" s="15" t="inlineStr">
        <is>
          <t>2645</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7867</t>
        </is>
      </c>
      <c r="D13" s="14" t="n"/>
      <c r="E13" s="14" t="n"/>
      <c r="F13" s="14" t="n"/>
      <c r="G13" s="14" t="n"/>
      <c r="H13" s="14" t="n">
        <v>0.9598958333333334</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330.8</t>
        </is>
      </c>
      <c r="D16" s="14" t="n"/>
      <c r="E16" s="14" t="n"/>
      <c r="F16" s="14" t="n"/>
      <c r="G16" s="14" t="n"/>
      <c r="H16" s="14" t="n">
        <v>0.9695876288659794</v>
      </c>
      <c r="K16" t="n">
        <v>100</v>
      </c>
      <c r="M16" t="inlineStr">
        <is>
          <t>FN</t>
        </is>
      </c>
    </row>
    <row r="17">
      <c r="A17" s="14" t="inlineStr">
        <is>
          <t>COMPL Huurovereenkomst - Stichting CCE - Kantoorgebouw Metzpoint I Dr. Holtroplaan - Fully Signed.pdf</t>
        </is>
      </c>
      <c r="B17" s="14" t="n"/>
      <c r="C17" s="15" t="inlineStr">
        <is>
          <t>293.2</t>
        </is>
      </c>
      <c r="D17" s="14" t="n"/>
      <c r="E17" s="14" t="n"/>
      <c r="F17" s="14" t="n"/>
      <c r="G17" s="14" t="n"/>
      <c r="H17" s="14" t="n">
        <v>0.9695876288659794</v>
      </c>
      <c r="M17" t="inlineStr">
        <is>
          <t>TN</t>
        </is>
      </c>
    </row>
    <row r="18">
      <c r="A18" s="14" t="inlineStr">
        <is>
          <t>COMPL Regel Partners - HOVK - Luchthavenweg 81 - 20260728.pdf</t>
        </is>
      </c>
      <c r="B18" s="14" t="n"/>
      <c r="C18" s="15" t="inlineStr">
        <is>
          <t>419.1</t>
        </is>
      </c>
      <c r="D18" s="14" t="n"/>
      <c r="E18" s="14" t="n"/>
      <c r="F18" s="14" t="n"/>
      <c r="G18" s="14" t="n"/>
      <c r="H18" s="14" t="n">
        <v>0.9695876288659794</v>
      </c>
    </row>
    <row r="19">
      <c r="A19" s="14" t="inlineStr">
        <is>
          <t>COMPL_-_Onderhuurovereenkomst_Zelfstroom_B.V._-_50five_B.V._-_kantoorgebouw_Riva_-_05032026.pdf</t>
        </is>
      </c>
      <c r="B19" s="14" t="n"/>
      <c r="C19" s="15" t="inlineStr">
        <is>
          <t>1013.23</t>
        </is>
      </c>
      <c r="D19" s="14" t="n"/>
      <c r="E19" s="14" t="n"/>
      <c r="F19" s="14" t="n"/>
      <c r="G19" s="14" t="n"/>
      <c r="H19" s="14" t="n">
        <v>0.9695876288659794</v>
      </c>
      <c r="K19" s="17" t="inlineStr">
        <is>
          <t>Field:</t>
        </is>
      </c>
      <c r="L19" t="inlineStr">
        <is>
          <t>floor_suite / arrangement_space_area</t>
        </is>
      </c>
    </row>
    <row r="20">
      <c r="A20" s="14" t="inlineStr">
        <is>
          <t>Den Bosch, Ruwekampweg 4, HOVK getekend.pdf</t>
        </is>
      </c>
      <c r="B20" s="14" t="n"/>
      <c r="C20" s="15" t="inlineStr">
        <is>
          <t>1430</t>
        </is>
      </c>
      <c r="D20" s="14" t="n"/>
      <c r="E20" s="14" t="n"/>
      <c r="F20" s="14" t="n"/>
      <c r="G20" s="14" t="n"/>
      <c r="H20" s="14" t="n">
        <v>0.9647668393782383</v>
      </c>
    </row>
    <row r="21">
      <c r="A21" s="14" t="inlineStr">
        <is>
          <t>FULLY SIGNED - COMPL Huurovereenkomst - Heijmans - Hugo de Grootlaan 23 's-Hertogenbosch V2 30-9-2025.pdf</t>
        </is>
      </c>
      <c r="B21" s="14" t="n"/>
      <c r="C21" s="15" t="inlineStr">
        <is>
          <t>400</t>
        </is>
      </c>
      <c r="D21" s="14" t="n"/>
      <c r="E21" s="14" t="n"/>
      <c r="F21" s="14" t="n"/>
      <c r="G21" s="14" t="n"/>
      <c r="H21" s="14" t="n">
        <v>0.95</v>
      </c>
    </row>
    <row r="22">
      <c r="A22" s="14" t="inlineStr">
        <is>
          <t>FULLY SIGNED - DEF_COMPL_Huurovereenkomst_Robo_Charge_-_Campus_Offices_-_20260220.pdf</t>
        </is>
      </c>
      <c r="B22" s="14" t="n"/>
      <c r="C22" s="15" t="inlineStr">
        <is>
          <t>357.2</t>
        </is>
      </c>
      <c r="D22" s="14" t="n"/>
      <c r="E22" s="14" t="n"/>
      <c r="F22" s="14" t="n"/>
      <c r="G22" s="14" t="n"/>
      <c r="H22" s="14" t="n">
        <v>0.95</v>
      </c>
    </row>
    <row r="23">
      <c r="A23" s="14" t="inlineStr">
        <is>
          <t>FULLY SIGNED - Onderhuurovereenkomst Aartshertogenlaan 223, `s-Hertogenbosch - Koning Willem I College B.V. 2606202.pdf</t>
        </is>
      </c>
      <c r="B23" s="14" t="n"/>
      <c r="C23" s="15" t="inlineStr">
        <is>
          <t>92.6</t>
        </is>
      </c>
      <c r="D23" s="14" t="n"/>
      <c r="E23" s="14" t="n"/>
      <c r="F23" s="14" t="n"/>
      <c r="G23" s="14" t="n"/>
      <c r="H23" s="14" t="n">
        <v>0.9647668393782383</v>
      </c>
    </row>
    <row r="24">
      <c r="A24" s="14" t="inlineStr">
        <is>
          <t>FULLY SIGNED COMPL_DEF_Huurovereenkomst_Bond_Bergschot_Breda.pdf</t>
        </is>
      </c>
      <c r="B24" s="14" t="n"/>
      <c r="C24" s="15" t="inlineStr">
        <is>
          <t>1001.08</t>
        </is>
      </c>
      <c r="D24" s="14" t="n"/>
      <c r="E24" s="14" t="n"/>
      <c r="F24" s="14" t="n"/>
      <c r="G24" s="14" t="n"/>
      <c r="H24" s="14" t="n">
        <v>0.9695876288659794</v>
      </c>
    </row>
    <row r="25">
      <c r="A25" s="14" t="inlineStr">
        <is>
          <t>FullySigned_Allonge_II_Virtual_Vaults_Nederland.pdf</t>
        </is>
      </c>
      <c r="B25" s="14" t="n"/>
      <c r="C25" s="15" t="inlineStr">
        <is>
          <t>287.36</t>
        </is>
      </c>
      <c r="D25" s="14" t="n"/>
      <c r="E25" s="14" t="n"/>
      <c r="F25" s="14" t="n"/>
      <c r="G25" s="14" t="n"/>
      <c r="H25" s="14" t="n">
        <v>0.9598958333333334</v>
      </c>
    </row>
    <row r="26">
      <c r="A26" s="14" t="inlineStr">
        <is>
          <t>FullySigned_Lease_Agreement_Neste_EDGE_Coolsingel.pdf</t>
        </is>
      </c>
      <c r="B26" s="14" t="n"/>
      <c r="C26" s="15" t="inlineStr">
        <is>
          <t>1335</t>
        </is>
      </c>
      <c r="D26" s="14" t="n"/>
      <c r="E26" s="14" t="n"/>
      <c r="F26" s="14" t="n"/>
      <c r="G26" s="14" t="n"/>
      <c r="H26" s="14" t="n">
        <v>0.95</v>
      </c>
    </row>
    <row r="27">
      <c r="A27" s="14" t="inlineStr">
        <is>
          <t>HOK Waalhaven Group (signed).pdf</t>
        </is>
      </c>
      <c r="B27" s="14" t="n"/>
      <c r="C27" s="15" t="inlineStr">
        <is>
          <t>672</t>
        </is>
      </c>
      <c r="D27" s="14" t="n"/>
      <c r="E27" s="14" t="n"/>
      <c r="F27" s="14" t="n"/>
      <c r="G27" s="14" t="n"/>
      <c r="H27" s="14" t="n">
        <v>0.95</v>
      </c>
    </row>
    <row r="28">
      <c r="A28" s="14" t="inlineStr">
        <is>
          <t>Hovk Avans  (3e+4e+5e verd.) 20140425.pdf</t>
        </is>
      </c>
      <c r="B28" s="14" t="n"/>
      <c r="C28" s="15" t="inlineStr">
        <is>
          <t>1612</t>
        </is>
      </c>
      <c r="D28" s="14" t="n"/>
      <c r="E28" s="14" t="n"/>
      <c r="F28" s="14" t="n"/>
      <c r="G28" s="14" t="n"/>
      <c r="H28" s="14" t="n">
        <v>0.9500000000000001</v>
      </c>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n"/>
      <c r="C30" s="15" t="inlineStr">
        <is>
          <t>61.4</t>
        </is>
      </c>
      <c r="D30" s="14" t="n"/>
      <c r="E30" s="14" t="n"/>
      <c r="F30" s="14" t="n"/>
      <c r="G30" s="14" t="n"/>
      <c r="H30" s="14" t="n">
        <v>0.95</v>
      </c>
    </row>
    <row r="31">
      <c r="A31" s="14" t="inlineStr">
        <is>
          <t>Huurovereenkomst - proces-verbaal van oplevering - sleuteloverdracht - Kennedyplein 101 - getekend.pdf</t>
        </is>
      </c>
      <c r="B31" s="14" t="n"/>
      <c r="C31" s="15" t="inlineStr">
        <is>
          <t>360.83</t>
        </is>
      </c>
      <c r="D31" s="14" t="n"/>
      <c r="E31" s="14" t="n"/>
      <c r="F31" s="14" t="n"/>
      <c r="G31" s="14" t="n"/>
      <c r="H31" s="14" t="n">
        <v>0.9598958333333334</v>
      </c>
    </row>
    <row r="32">
      <c r="A32" s="14" t="inlineStr">
        <is>
          <t>Huurovereenkomst Bijster 5 te Breda getekend.pdf</t>
        </is>
      </c>
      <c r="B32" s="14" t="n"/>
      <c r="C32" s="15" t="inlineStr">
        <is>
          <t>435</t>
        </is>
      </c>
      <c r="D32" s="14" t="n"/>
      <c r="E32" s="14" t="n"/>
      <c r="F32" s="14" t="n"/>
      <c r="G32" s="14" t="n"/>
      <c r="H32" s="14" t="n">
        <v>0.9695876288659794</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808</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0</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0</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7</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5</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0</t>
        </is>
      </c>
      <c r="D6" s="14" t="n"/>
      <c r="E6" s="14" t="n"/>
      <c r="F6" s="14" t="n"/>
      <c r="G6" s="14" t="n"/>
      <c r="H6" s="14" t="n">
        <v>0.9695876288659794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1</t>
        </is>
      </c>
      <c r="D7" s="14" t="n"/>
      <c r="E7" s="14" t="n"/>
      <c r="F7" s="14" t="n"/>
      <c r="G7" s="14" t="n"/>
      <c r="H7" s="14" t="n">
        <v>0.9695876288659794</v>
      </c>
      <c r="K7" s="17" t="inlineStr">
        <is>
          <t>Total Docs Tested</t>
        </is>
      </c>
      <c r="L7" s="19">
        <f>COUNTA(A2:A36)</f>
        <v/>
      </c>
      <c r="N7" s="17" t="inlineStr">
        <is>
          <t>Total Docs Tested</t>
        </is>
      </c>
      <c r="O7" s="19">
        <f>COUNTA(A2:A36)</f>
        <v/>
      </c>
    </row>
    <row r="8">
      <c r="A8" s="14" t="inlineStr">
        <is>
          <t>20260629 HOK ADHDcentraal BV (1).pdf</t>
        </is>
      </c>
      <c r="B8" s="14" t="n"/>
      <c r="C8" s="15" t="inlineStr">
        <is>
          <t>5</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6</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6</t>
        </is>
      </c>
      <c r="D10" s="14" t="n"/>
      <c r="E10" s="14" t="n"/>
      <c r="F10" s="14" t="n"/>
      <c r="G10" s="14" t="n"/>
      <c r="H10" s="14" t="n">
        <v>0.9598958333333334</v>
      </c>
      <c r="K10" s="20" t="inlineStr">
        <is>
          <t>Highlighted rows = file(s) not in the annotation sheet; excluded from all metrics above.</t>
        </is>
      </c>
    </row>
    <row r="11">
      <c r="A11" s="14" t="inlineStr">
        <is>
          <t>20270801 - Getekende Allonge II Advario BV.pdf</t>
        </is>
      </c>
      <c r="B11" s="14" t="n"/>
      <c r="C11" s="15" t="inlineStr">
        <is>
          <t>3</t>
        </is>
      </c>
      <c r="D11" s="14" t="n"/>
      <c r="E11" s="14" t="n"/>
      <c r="F11" s="14" t="n"/>
      <c r="G11" s="14" t="n"/>
      <c r="H11" s="14" t="n">
        <v>0.95</v>
      </c>
      <c r="K11" s="17" t="inlineStr">
        <is>
          <t>Validation Rules Example</t>
        </is>
      </c>
    </row>
    <row r="12">
      <c r="A12" s="14" t="inlineStr">
        <is>
          <t>240119 HOVK Spoorlaan 446-448 Tilburg signed.pdf</t>
        </is>
      </c>
      <c r="B12" s="14" t="n"/>
      <c r="C12" s="15" t="inlineStr">
        <is>
          <t>0</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0</t>
        </is>
      </c>
      <c r="D13" s="14" t="n"/>
      <c r="E13" s="14" t="n"/>
      <c r="F13" s="14" t="n"/>
      <c r="G13" s="14" t="n"/>
      <c r="H13" s="14" t="n">
        <v>0.9598958333333334</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0</t>
        </is>
      </c>
      <c r="D16" s="14" t="n"/>
      <c r="E16" s="14" t="n"/>
      <c r="F16" s="14" t="n"/>
      <c r="G16" s="14" t="n"/>
      <c r="H16" s="14" t="n">
        <v>0.9695876288659794</v>
      </c>
      <c r="K16" t="n">
        <v>100</v>
      </c>
      <c r="M16" t="inlineStr">
        <is>
          <t>FN</t>
        </is>
      </c>
    </row>
    <row r="17">
      <c r="A17" s="14" t="inlineStr">
        <is>
          <t>COMPL Huurovereenkomst - Stichting CCE - Kantoorgebouw Metzpoint I Dr. Holtroplaan - Fully Signed.pdf</t>
        </is>
      </c>
      <c r="B17" s="14" t="n"/>
      <c r="C17" s="15" t="inlineStr">
        <is>
          <t>0</t>
        </is>
      </c>
      <c r="D17" s="14" t="n"/>
      <c r="E17" s="14" t="n"/>
      <c r="F17" s="14" t="n"/>
      <c r="G17" s="14" t="n"/>
      <c r="H17" s="14" t="n">
        <v>0.9695876288659794</v>
      </c>
      <c r="M17" t="inlineStr">
        <is>
          <t>TN</t>
        </is>
      </c>
    </row>
    <row r="18">
      <c r="A18" s="14" t="inlineStr">
        <is>
          <t>COMPL Regel Partners - HOVK - Luchthavenweg 81 - 20260728.pdf</t>
        </is>
      </c>
      <c r="B18" s="14" t="n"/>
      <c r="C18" s="15" t="inlineStr">
        <is>
          <t>2</t>
        </is>
      </c>
      <c r="D18" s="14" t="n"/>
      <c r="E18" s="14" t="n"/>
      <c r="F18" s="14" t="n"/>
      <c r="G18" s="14" t="n"/>
      <c r="H18" s="14" t="n">
        <v>0.9695876288659794</v>
      </c>
    </row>
    <row r="19">
      <c r="A19" s="14" t="inlineStr">
        <is>
          <t>COMPL_-_Onderhuurovereenkomst_Zelfstroom_B.V._-_50five_B.V._-_kantoorgebouw_Riva_-_05032026.pdf</t>
        </is>
      </c>
      <c r="B19" s="14" t="n"/>
      <c r="C19" s="15" t="inlineStr">
        <is>
          <t>8</t>
        </is>
      </c>
      <c r="D19" s="14" t="n"/>
      <c r="E19" s="14" t="n"/>
      <c r="F19" s="14" t="n"/>
      <c r="G19" s="14" t="n"/>
      <c r="H19" s="14" t="n">
        <v>0.9695876288659794</v>
      </c>
      <c r="K19" s="17" t="inlineStr">
        <is>
          <t>Field:</t>
        </is>
      </c>
      <c r="L19" t="inlineStr">
        <is>
          <t>floor_suite / floor_number</t>
        </is>
      </c>
    </row>
    <row r="20">
      <c r="A20" s="14" t="inlineStr">
        <is>
          <t>Den Bosch, Ruwekampweg 4, HOVK getekend.pdf</t>
        </is>
      </c>
      <c r="B20" s="14" t="n"/>
      <c r="C20" s="15" t="inlineStr">
        <is>
          <t>0</t>
        </is>
      </c>
      <c r="D20" s="14" t="n"/>
      <c r="E20" s="14" t="n"/>
      <c r="F20" s="14" t="n"/>
      <c r="G20" s="14" t="n"/>
      <c r="H20" s="14" t="n">
        <v>0.9647668393782383</v>
      </c>
    </row>
    <row r="21">
      <c r="A21" s="14" t="inlineStr">
        <is>
          <t>FULLY SIGNED - COMPL Huurovereenkomst - Heijmans - Hugo de Grootlaan 23 's-Hertogenbosch V2 30-9-2025.pdf</t>
        </is>
      </c>
      <c r="B21" s="14" t="n"/>
      <c r="C21" s="15" t="inlineStr">
        <is>
          <t>0</t>
        </is>
      </c>
      <c r="D21" s="14" t="n"/>
      <c r="E21" s="14" t="n"/>
      <c r="F21" s="14" t="n"/>
      <c r="G21" s="14" t="n"/>
      <c r="H21" s="14" t="n">
        <v>0.95</v>
      </c>
    </row>
    <row r="22">
      <c r="A22" s="14" t="inlineStr">
        <is>
          <t>FULLY SIGNED - DEF_COMPL_Huurovereenkomst_Robo_Charge_-_Campus_Offices_-_20260220.pdf</t>
        </is>
      </c>
      <c r="B22" s="14" t="n"/>
      <c r="C22" s="15" t="inlineStr">
        <is>
          <t>2</t>
        </is>
      </c>
      <c r="D22" s="14" t="n"/>
      <c r="E22" s="14" t="n"/>
      <c r="F22" s="14" t="n"/>
      <c r="G22" s="14" t="n"/>
      <c r="H22" s="14" t="n">
        <v>0.95</v>
      </c>
    </row>
    <row r="23">
      <c r="A23" s="14" t="inlineStr">
        <is>
          <t>FULLY SIGNED - Onderhuurovereenkomst Aartshertogenlaan 223, `s-Hertogenbosch - Koning Willem I College B.V. 2606202.pdf</t>
        </is>
      </c>
      <c r="B23" s="14" t="n"/>
      <c r="C23" s="15" t="inlineStr">
        <is>
          <t>-1</t>
        </is>
      </c>
      <c r="D23" s="14" t="n"/>
      <c r="E23" s="14" t="n"/>
      <c r="F23" s="14" t="n"/>
      <c r="G23" s="14" t="n"/>
      <c r="H23" s="14" t="n">
        <v>0.9647668393782383</v>
      </c>
    </row>
    <row r="24">
      <c r="A24" s="14" t="inlineStr">
        <is>
          <t>FULLY SIGNED COMPL_DEF_Huurovereenkomst_Bond_Bergschot_Breda.pdf</t>
        </is>
      </c>
      <c r="B24" s="14" t="n"/>
      <c r="C24" s="15" t="inlineStr">
        <is>
          <t>3</t>
        </is>
      </c>
      <c r="D24" s="14" t="n"/>
      <c r="E24" s="14" t="n"/>
      <c r="F24" s="14" t="n"/>
      <c r="G24" s="14" t="n"/>
      <c r="H24" s="14" t="n">
        <v>0.9695876288659794</v>
      </c>
    </row>
    <row r="25">
      <c r="A25" s="14" t="inlineStr">
        <is>
          <t>FullySigned_Allonge_II_Virtual_Vaults_Nederland.pdf</t>
        </is>
      </c>
      <c r="B25" s="14" t="n"/>
      <c r="C25" s="15" t="inlineStr">
        <is>
          <t>0</t>
        </is>
      </c>
      <c r="D25" s="14" t="n"/>
      <c r="E25" s="14" t="n"/>
      <c r="F25" s="14" t="n"/>
      <c r="G25" s="14" t="n"/>
      <c r="H25" s="14" t="n">
        <v>0.9598958333333334</v>
      </c>
    </row>
    <row r="26">
      <c r="A26" s="14" t="inlineStr">
        <is>
          <t>FullySigned_Lease_Agreement_Neste_EDGE_Coolsingel.pdf</t>
        </is>
      </c>
      <c r="B26" s="14" t="n"/>
      <c r="C26" s="15" t="inlineStr">
        <is>
          <t>6</t>
        </is>
      </c>
      <c r="D26" s="14" t="n"/>
      <c r="E26" s="14" t="n"/>
      <c r="F26" s="14" t="n"/>
      <c r="G26" s="14" t="n"/>
      <c r="H26" s="14" t="n">
        <v>0.95</v>
      </c>
    </row>
    <row r="27">
      <c r="A27" s="14" t="inlineStr">
        <is>
          <t>HOK Waalhaven Group (signed).pdf</t>
        </is>
      </c>
      <c r="B27" s="14" t="n"/>
      <c r="C27" s="15" t="inlineStr">
        <is>
          <t>5</t>
        </is>
      </c>
      <c r="D27" s="14" t="n"/>
      <c r="E27" s="14" t="n"/>
      <c r="F27" s="14" t="n"/>
      <c r="G27" s="14" t="n"/>
      <c r="H27" s="14" t="n">
        <v>0.95</v>
      </c>
    </row>
    <row r="28">
      <c r="A28" s="14" t="inlineStr">
        <is>
          <t>Hovk Avans  (3e+4e+5e verd.) 20140425.pdf</t>
        </is>
      </c>
      <c r="B28" s="14" t="n"/>
      <c r="C28" s="15" t="inlineStr">
        <is>
          <t>3</t>
        </is>
      </c>
      <c r="D28" s="14" t="n"/>
      <c r="E28" s="14" t="n"/>
      <c r="F28" s="14" t="n"/>
      <c r="G28" s="14" t="n"/>
      <c r="H28" s="14" t="n">
        <v>0.9500000000000001</v>
      </c>
    </row>
    <row r="29">
      <c r="A29" s="14" t="inlineStr">
        <is>
          <t>HOVK Power4People 2025.pdf</t>
        </is>
      </c>
      <c r="B29" s="14" t="n"/>
      <c r="C29" s="15" t="inlineStr">
        <is>
          <t>0</t>
        </is>
      </c>
      <c r="D29" s="14" t="n"/>
      <c r="E29" s="14" t="n"/>
      <c r="F29" s="14" t="n"/>
      <c r="G29" s="14" t="n"/>
      <c r="H29" s="14" t="n">
        <v>0.9549738219895287</v>
      </c>
    </row>
    <row r="30">
      <c r="A30" s="14" t="inlineStr">
        <is>
          <t>Huurovereenkomst (Semmie Group B.V.) - Wilhelminasingel 19, Breda.pdf</t>
        </is>
      </c>
      <c r="B30" s="14" t="n"/>
      <c r="C30" s="15" t="inlineStr">
        <is>
          <t>3</t>
        </is>
      </c>
      <c r="D30" s="14" t="n"/>
      <c r="E30" s="14" t="n"/>
      <c r="F30" s="14" t="n"/>
      <c r="G30" s="14" t="n"/>
      <c r="H30" s="14" t="n">
        <v>0.95</v>
      </c>
    </row>
    <row r="31">
      <c r="A31" s="14" t="inlineStr">
        <is>
          <t>Huurovereenkomst - proces-verbaal van oplevering - sleuteloverdracht - Kennedyplein 101 - getekend.pdf</t>
        </is>
      </c>
      <c r="B31" s="14" t="n"/>
      <c r="C31" s="15" t="inlineStr">
        <is>
          <t>6</t>
        </is>
      </c>
      <c r="D31" s="14" t="n"/>
      <c r="E31" s="14" t="n"/>
      <c r="F31" s="14" t="n"/>
      <c r="G31" s="14" t="n"/>
      <c r="H31" s="14" t="n">
        <v>0.9598958333333334</v>
      </c>
    </row>
    <row r="32">
      <c r="A32" s="14" t="inlineStr">
        <is>
          <t>Huurovereenkomst Bijster 5 te Breda getekend.pdf</t>
        </is>
      </c>
      <c r="B32" s="14" t="n"/>
      <c r="C32" s="15" t="inlineStr">
        <is>
          <t>2</t>
        </is>
      </c>
      <c r="D32" s="14" t="n"/>
      <c r="E32" s="14" t="n"/>
      <c r="F32" s="14" t="n"/>
      <c r="G32" s="14" t="n"/>
      <c r="H32" s="14" t="n">
        <v>0.9695876288659794</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0</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N</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N</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t>
        </is>
      </c>
      <c r="D6" s="14" t="n"/>
      <c r="E6" s="14" t="n"/>
      <c r="F6" s="14" t="n"/>
      <c r="G6" s="14" t="n"/>
      <c r="H6" s="14" t="n">
        <v>0.9695876288659794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N</t>
        </is>
      </c>
      <c r="D7" s="14" t="n"/>
      <c r="E7" s="14" t="n"/>
      <c r="F7" s="14" t="n"/>
      <c r="G7" s="14" t="n"/>
      <c r="H7" s="14" t="n">
        <v>0.9695876288659794</v>
      </c>
      <c r="K7" s="17" t="inlineStr">
        <is>
          <t>Total Docs Tested</t>
        </is>
      </c>
      <c r="L7" s="19">
        <f>COUNTA(A2:A36)</f>
        <v/>
      </c>
      <c r="N7" s="17" t="inlineStr">
        <is>
          <t>Total Docs Tested</t>
        </is>
      </c>
      <c r="O7" s="19">
        <f>COUNTA(A2:A36)</f>
        <v/>
      </c>
    </row>
    <row r="8">
      <c r="A8" s="14" t="inlineStr">
        <is>
          <t>20260629 HOK ADHDcentraal BV (1).pdf</t>
        </is>
      </c>
      <c r="B8" s="14" t="n"/>
      <c r="C8" s="15" t="inlineStr">
        <is>
          <t>--</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N</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N</t>
        </is>
      </c>
      <c r="D10" s="14" t="n"/>
      <c r="E10" s="14" t="n"/>
      <c r="F10" s="14" t="n"/>
      <c r="G10" s="14" t="n"/>
      <c r="H10" s="14" t="n">
        <v>0.9598958333333334</v>
      </c>
      <c r="K10" s="20" t="inlineStr">
        <is>
          <t>Highlighted rows = file(s) not in the annotation sheet; excluded from all metrics above.</t>
        </is>
      </c>
    </row>
    <row r="11">
      <c r="A11" s="14" t="inlineStr">
        <is>
          <t>20270801 - Getekende Allonge II Advario BV.pdf</t>
        </is>
      </c>
      <c r="B11" s="14" t="n"/>
      <c r="C11" s="15" t="inlineStr">
        <is>
          <t>--</t>
        </is>
      </c>
      <c r="D11" s="14" t="n"/>
      <c r="E11" s="14" t="n"/>
      <c r="F11" s="14" t="n"/>
      <c r="G11" s="14" t="n"/>
      <c r="H11" s="14" t="n">
        <v>0.95</v>
      </c>
      <c r="K11" s="17" t="inlineStr">
        <is>
          <t>Validation Rules Example</t>
        </is>
      </c>
    </row>
    <row r="12">
      <c r="A12" s="14" t="inlineStr">
        <is>
          <t>240119 HOVK Spoorlaan 446-448 Tilburg signed.pdf</t>
        </is>
      </c>
      <c r="B12" s="14" t="n"/>
      <c r="C12" s="15" t="inlineStr">
        <is>
          <t>--</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t>
        </is>
      </c>
      <c r="D13" s="14" t="n"/>
      <c r="E13" s="14" t="n"/>
      <c r="F13" s="14" t="n"/>
      <c r="G13" s="14" t="n"/>
      <c r="H13" s="14" t="n">
        <v>0.9598958333333334</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t>
        </is>
      </c>
      <c r="D16" s="14" t="n"/>
      <c r="E16" s="14" t="n"/>
      <c r="F16" s="14" t="n"/>
      <c r="G16" s="14" t="n"/>
      <c r="H16" s="14" t="n">
        <v>0.9695876288659794</v>
      </c>
      <c r="K16" t="n">
        <v>100</v>
      </c>
      <c r="M16" t="inlineStr">
        <is>
          <t>FN</t>
        </is>
      </c>
    </row>
    <row r="17">
      <c r="A17" s="14" t="inlineStr">
        <is>
          <t>COMPL Huurovereenkomst - Stichting CCE - Kantoorgebouw Metzpoint I Dr. Holtroplaan - Fully Signed.pdf</t>
        </is>
      </c>
      <c r="B17" s="14" t="n"/>
      <c r="C17" s="15" t="inlineStr">
        <is>
          <t>--</t>
        </is>
      </c>
      <c r="D17" s="14" t="n"/>
      <c r="E17" s="14" t="n"/>
      <c r="F17" s="14" t="n"/>
      <c r="G17" s="14" t="n"/>
      <c r="H17" s="14" t="n">
        <v>0.9695876288659794</v>
      </c>
      <c r="M17" t="inlineStr">
        <is>
          <t>TN</t>
        </is>
      </c>
    </row>
    <row r="18">
      <c r="A18" s="14" t="inlineStr">
        <is>
          <t>COMPL Regel Partners - HOVK - Luchthavenweg 81 - 20260728.pdf</t>
        </is>
      </c>
      <c r="B18" s="14" t="n"/>
      <c r="C18" s="15" t="inlineStr">
        <is>
          <t>--</t>
        </is>
      </c>
      <c r="D18" s="14" t="n"/>
      <c r="E18" s="14" t="n"/>
      <c r="F18" s="14" t="n"/>
      <c r="G18" s="14" t="n"/>
      <c r="H18" s="14" t="n">
        <v>0.9695876288659794</v>
      </c>
    </row>
    <row r="19">
      <c r="A19" s="14" t="inlineStr">
        <is>
          <t>COMPL_-_Onderhuurovereenkomst_Zelfstroom_B.V._-_50five_B.V._-_kantoorgebouw_Riva_-_05032026.pdf</t>
        </is>
      </c>
      <c r="B19" s="14" t="n"/>
      <c r="C19" s="15" t="inlineStr">
        <is>
          <t>--</t>
        </is>
      </c>
      <c r="D19" s="14" t="n"/>
      <c r="E19" s="14" t="n"/>
      <c r="F19" s="14" t="n"/>
      <c r="G19" s="14" t="n"/>
      <c r="H19" s="14" t="n">
        <v>0.9695876288659794</v>
      </c>
      <c r="K19" s="17" t="inlineStr">
        <is>
          <t>Field:</t>
        </is>
      </c>
      <c r="L19" t="inlineStr">
        <is>
          <t>floor_suite / full_floor_f</t>
        </is>
      </c>
    </row>
    <row r="20">
      <c r="A20" s="14" t="inlineStr">
        <is>
          <t>Den Bosch, Ruwekampweg 4, HOVK getekend.pdf</t>
        </is>
      </c>
      <c r="B20" s="14" t="n"/>
      <c r="C20" s="15" t="inlineStr">
        <is>
          <t>--</t>
        </is>
      </c>
      <c r="D20" s="14" t="n"/>
      <c r="E20" s="14" t="n"/>
      <c r="F20" s="14" t="n"/>
      <c r="G20" s="14" t="n"/>
      <c r="H20" s="14" t="n">
        <v>0.9647668393782383</v>
      </c>
    </row>
    <row r="21">
      <c r="A21" s="14" t="inlineStr">
        <is>
          <t>FULLY SIGNED - COMPL Huurovereenkomst - Heijmans - Hugo de Grootlaan 23 's-Hertogenbosch V2 30-9-2025.pdf</t>
        </is>
      </c>
      <c r="B21" s="14" t="n"/>
      <c r="C21" s="15" t="inlineStr">
        <is>
          <t>--</t>
        </is>
      </c>
      <c r="D21" s="14" t="n"/>
      <c r="E21" s="14" t="n"/>
      <c r="F21" s="14" t="n"/>
      <c r="G21" s="14" t="n"/>
      <c r="H21" s="14" t="n">
        <v>0.95</v>
      </c>
    </row>
    <row r="22">
      <c r="A22" s="14" t="inlineStr">
        <is>
          <t>FULLY SIGNED - DEF_COMPL_Huurovereenkomst_Robo_Charge_-_Campus_Offices_-_20260220.pdf</t>
        </is>
      </c>
      <c r="B22" s="14" t="n"/>
      <c r="C22" s="15" t="inlineStr">
        <is>
          <t>--</t>
        </is>
      </c>
      <c r="D22" s="14" t="n"/>
      <c r="E22" s="14" t="n"/>
      <c r="F22" s="14" t="n"/>
      <c r="G22" s="14" t="n"/>
      <c r="H22" s="14" t="n">
        <v>0.95</v>
      </c>
    </row>
    <row r="23">
      <c r="A23" s="14" t="inlineStr">
        <is>
          <t>FULLY SIGNED - Onderhuurovereenkomst Aartshertogenlaan 223, `s-Hertogenbosch - Koning Willem I College B.V. 2606202.pdf</t>
        </is>
      </c>
      <c r="B23" s="14" t="n"/>
      <c r="C23" s="15" t="inlineStr">
        <is>
          <t>--</t>
        </is>
      </c>
      <c r="D23" s="14" t="n"/>
      <c r="E23" s="14" t="n"/>
      <c r="F23" s="14" t="n"/>
      <c r="G23" s="14" t="n"/>
      <c r="H23" s="14" t="n">
        <v>0.9647668393782383</v>
      </c>
    </row>
    <row r="24">
      <c r="A24" s="14" t="inlineStr">
        <is>
          <t>FULLY SIGNED COMPL_DEF_Huurovereenkomst_Bond_Bergschot_Breda.pdf</t>
        </is>
      </c>
      <c r="B24" s="14" t="n"/>
      <c r="C24" s="15" t="inlineStr">
        <is>
          <t>N</t>
        </is>
      </c>
      <c r="D24" s="14" t="n"/>
      <c r="E24" s="14" t="n"/>
      <c r="F24" s="14" t="n"/>
      <c r="G24" s="14" t="n"/>
      <c r="H24" s="14" t="n">
        <v>0.9695876288659794</v>
      </c>
    </row>
    <row r="25">
      <c r="A25" s="14" t="inlineStr">
        <is>
          <t>FullySigned_Allonge_II_Virtual_Vaults_Nederland.pdf</t>
        </is>
      </c>
      <c r="B25" s="14" t="n"/>
      <c r="C25" s="15" t="inlineStr">
        <is>
          <t>--</t>
        </is>
      </c>
      <c r="D25" s="14" t="n"/>
      <c r="E25" s="14" t="n"/>
      <c r="F25" s="14" t="n"/>
      <c r="G25" s="14" t="n"/>
      <c r="H25" s="14" t="n">
        <v>0.9598958333333334</v>
      </c>
    </row>
    <row r="26">
      <c r="A26" s="14" t="inlineStr">
        <is>
          <t>FullySigned_Lease_Agreement_Neste_EDGE_Coolsingel.pdf</t>
        </is>
      </c>
      <c r="B26" s="14" t="n"/>
      <c r="C26" s="15" t="inlineStr">
        <is>
          <t>N</t>
        </is>
      </c>
      <c r="D26" s="14" t="n"/>
      <c r="E26" s="14" t="n"/>
      <c r="F26" s="14" t="n"/>
      <c r="G26" s="14" t="n"/>
      <c r="H26" s="14" t="n">
        <v>0.95</v>
      </c>
    </row>
    <row r="27">
      <c r="A27" s="14" t="inlineStr">
        <is>
          <t>HOK Waalhaven Group (signed).pdf</t>
        </is>
      </c>
      <c r="B27" s="14" t="n"/>
      <c r="C27" s="15" t="inlineStr">
        <is>
          <t>N</t>
        </is>
      </c>
      <c r="D27" s="14" t="n"/>
      <c r="E27" s="14" t="n"/>
      <c r="F27" s="14" t="n"/>
      <c r="G27" s="14" t="n"/>
      <c r="H27" s="14" t="n">
        <v>0.95</v>
      </c>
    </row>
    <row r="28">
      <c r="A28" s="14" t="inlineStr">
        <is>
          <t>Hovk Avans  (3e+4e+5e verd.) 20140425.pdf</t>
        </is>
      </c>
      <c r="B28" s="14" t="n"/>
      <c r="C28" s="15" t="inlineStr">
        <is>
          <t>--</t>
        </is>
      </c>
      <c r="D28" s="14" t="n"/>
      <c r="E28" s="14" t="n"/>
      <c r="F28" s="14" t="n"/>
      <c r="G28" s="14" t="n"/>
      <c r="H28" s="14" t="n">
        <v>0.9500000000000001</v>
      </c>
    </row>
    <row r="29">
      <c r="A29" s="14" t="inlineStr">
        <is>
          <t>HOVK Power4People 2025.pdf</t>
        </is>
      </c>
      <c r="B29" s="14" t="n"/>
      <c r="C29" s="15" t="inlineStr">
        <is>
          <t>--</t>
        </is>
      </c>
      <c r="D29" s="14" t="n"/>
      <c r="E29" s="14" t="n"/>
      <c r="F29" s="14" t="n"/>
      <c r="G29" s="14" t="n"/>
      <c r="H29" s="14" t="n">
        <v>0.9549738219895287</v>
      </c>
    </row>
    <row r="30">
      <c r="A30" s="14" t="inlineStr">
        <is>
          <t>Huurovereenkomst (Semmie Group B.V.) - Wilhelminasingel 19, Breda.pdf</t>
        </is>
      </c>
      <c r="B30" s="14" t="n"/>
      <c r="C30" s="15" t="inlineStr">
        <is>
          <t>--</t>
        </is>
      </c>
      <c r="D30" s="14" t="n"/>
      <c r="E30" s="14" t="n"/>
      <c r="F30" s="14" t="n"/>
      <c r="G30" s="14" t="n"/>
      <c r="H30" s="14" t="n">
        <v>0.95</v>
      </c>
    </row>
    <row r="31">
      <c r="A31" s="14" t="inlineStr">
        <is>
          <t>Huurovereenkomst - proces-verbaal van oplevering - sleuteloverdracht - Kennedyplein 101 - getekend.pdf</t>
        </is>
      </c>
      <c r="B31" s="14" t="n"/>
      <c r="C31" s="15" t="inlineStr">
        <is>
          <t>--</t>
        </is>
      </c>
      <c r="D31" s="14" t="n"/>
      <c r="E31" s="14" t="n"/>
      <c r="F31" s="14" t="n"/>
      <c r="G31" s="14" t="n"/>
      <c r="H31" s="14" t="n">
        <v>0.9598958333333334</v>
      </c>
    </row>
    <row r="32">
      <c r="A32" s="14" t="inlineStr">
        <is>
          <t>Huurovereenkomst Bijster 5 te Breda getekend.pdf</t>
        </is>
      </c>
      <c r="B32" s="14" t="n"/>
      <c r="C32" s="15" t="inlineStr">
        <is>
          <t>--</t>
        </is>
      </c>
      <c r="D32" s="14" t="n"/>
      <c r="E32" s="14" t="n"/>
      <c r="F32" s="14" t="n"/>
      <c r="G32" s="14" t="n"/>
      <c r="H32" s="14" t="n">
        <v>0.9695876288659794</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SqM</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SqM</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SqM</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SqM</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SqM</t>
        </is>
      </c>
      <c r="D6" s="14" t="n"/>
      <c r="E6" s="14" t="n"/>
      <c r="F6" s="14" t="n"/>
      <c r="G6" s="14" t="n"/>
      <c r="H6" s="14" t="n">
        <v>0.9695876288659794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SqM</t>
        </is>
      </c>
      <c r="D7" s="14" t="n"/>
      <c r="E7" s="14" t="n"/>
      <c r="F7" s="14" t="n"/>
      <c r="G7" s="14" t="n"/>
      <c r="H7" s="14" t="n">
        <v>0.9695876288659794</v>
      </c>
      <c r="K7" s="17" t="inlineStr">
        <is>
          <t>Total Docs Tested</t>
        </is>
      </c>
      <c r="L7" s="19">
        <f>COUNTA(A2:A36)</f>
        <v/>
      </c>
      <c r="N7" s="17" t="inlineStr">
        <is>
          <t>Total Docs Tested</t>
        </is>
      </c>
      <c r="O7" s="19">
        <f>COUNTA(A2:A36)</f>
        <v/>
      </c>
    </row>
    <row r="8">
      <c r="A8" s="14" t="inlineStr">
        <is>
          <t>20260629 HOK ADHDcentraal BV (1).pdf</t>
        </is>
      </c>
      <c r="B8" s="14" t="n"/>
      <c r="C8" s="15" t="inlineStr">
        <is>
          <t>SqM</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SqM</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SqM</t>
        </is>
      </c>
      <c r="D10" s="14" t="n"/>
      <c r="E10" s="14" t="n"/>
      <c r="F10" s="14" t="n"/>
      <c r="G10" s="14" t="n"/>
      <c r="H10" s="14" t="n">
        <v>0.9598958333333334</v>
      </c>
      <c r="K10" s="20" t="inlineStr">
        <is>
          <t>Highlighted rows = file(s) not in the annotation sheet; excluded from all metrics above.</t>
        </is>
      </c>
    </row>
    <row r="11">
      <c r="A11" s="14" t="inlineStr">
        <is>
          <t>20270801 - Getekende Allonge II Advario BV.pdf</t>
        </is>
      </c>
      <c r="B11" s="14" t="n"/>
      <c r="C11" s="15" t="inlineStr">
        <is>
          <t>SqM</t>
        </is>
      </c>
      <c r="D11" s="14" t="n"/>
      <c r="E11" s="14" t="n"/>
      <c r="F11" s="14" t="n"/>
      <c r="G11" s="14" t="n"/>
      <c r="H11" s="14" t="n">
        <v>0.95</v>
      </c>
      <c r="K11" s="17" t="inlineStr">
        <is>
          <t>Validation Rules Example</t>
        </is>
      </c>
    </row>
    <row r="12">
      <c r="A12" s="14" t="inlineStr">
        <is>
          <t>240119 HOVK Spoorlaan 446-448 Tilburg signed.pdf</t>
        </is>
      </c>
      <c r="B12" s="14" t="n"/>
      <c r="C12" s="15" t="inlineStr">
        <is>
          <t>SqM</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SqM</t>
        </is>
      </c>
      <c r="D13" s="14" t="n"/>
      <c r="E13" s="14" t="n"/>
      <c r="F13" s="14" t="n"/>
      <c r="G13" s="14" t="n"/>
      <c r="H13" s="14" t="n">
        <v>0.9598958333333334</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SqM</t>
        </is>
      </c>
      <c r="D16" s="14" t="n"/>
      <c r="E16" s="14" t="n"/>
      <c r="F16" s="14" t="n"/>
      <c r="G16" s="14" t="n"/>
      <c r="H16" s="14" t="n">
        <v>0.9695876288659794</v>
      </c>
      <c r="K16" t="n">
        <v>100</v>
      </c>
      <c r="M16" t="inlineStr">
        <is>
          <t>FN</t>
        </is>
      </c>
    </row>
    <row r="17">
      <c r="A17" s="14" t="inlineStr">
        <is>
          <t>COMPL Huurovereenkomst - Stichting CCE - Kantoorgebouw Metzpoint I Dr. Holtroplaan - Fully Signed.pdf</t>
        </is>
      </c>
      <c r="B17" s="14" t="n"/>
      <c r="C17" s="15" t="inlineStr">
        <is>
          <t>SqM</t>
        </is>
      </c>
      <c r="D17" s="14" t="n"/>
      <c r="E17" s="14" t="n"/>
      <c r="F17" s="14" t="n"/>
      <c r="G17" s="14" t="n"/>
      <c r="H17" s="14" t="n">
        <v>0.9695876288659794</v>
      </c>
      <c r="M17" t="inlineStr">
        <is>
          <t>TN</t>
        </is>
      </c>
    </row>
    <row r="18">
      <c r="A18" s="14" t="inlineStr">
        <is>
          <t>COMPL Regel Partners - HOVK - Luchthavenweg 81 - 20260728.pdf</t>
        </is>
      </c>
      <c r="B18" s="14" t="n"/>
      <c r="C18" s="15" t="inlineStr">
        <is>
          <t>SqM</t>
        </is>
      </c>
      <c r="D18" s="14" t="n"/>
      <c r="E18" s="14" t="n"/>
      <c r="F18" s="14" t="n"/>
      <c r="G18" s="14" t="n"/>
      <c r="H18" s="14" t="n">
        <v>0.9695876288659794</v>
      </c>
    </row>
    <row r="19">
      <c r="A19" s="14" t="inlineStr">
        <is>
          <t>COMPL_-_Onderhuurovereenkomst_Zelfstroom_B.V._-_50five_B.V._-_kantoorgebouw_Riva_-_05032026.pdf</t>
        </is>
      </c>
      <c r="B19" s="14" t="n"/>
      <c r="C19" s="15" t="inlineStr">
        <is>
          <t>SqM</t>
        </is>
      </c>
      <c r="D19" s="14" t="n"/>
      <c r="E19" s="14" t="n"/>
      <c r="F19" s="14" t="n"/>
      <c r="G19" s="14" t="n"/>
      <c r="H19" s="14" t="n">
        <v>0.9695876288659794</v>
      </c>
      <c r="K19" s="17" t="inlineStr">
        <is>
          <t>Field:</t>
        </is>
      </c>
      <c r="L19" t="inlineStr">
        <is>
          <t>floor_suite / ref_arrangement_space_area_uom_desc</t>
        </is>
      </c>
    </row>
    <row r="20">
      <c r="A20" s="14" t="inlineStr">
        <is>
          <t>Den Bosch, Ruwekampweg 4, HOVK getekend.pdf</t>
        </is>
      </c>
      <c r="B20" s="14" t="n"/>
      <c r="C20" s="15" t="inlineStr">
        <is>
          <t>SqM</t>
        </is>
      </c>
      <c r="D20" s="14" t="n"/>
      <c r="E20" s="14" t="n"/>
      <c r="F20" s="14" t="n"/>
      <c r="G20" s="14" t="n"/>
      <c r="H20" s="14" t="n">
        <v>0.9647668393782383</v>
      </c>
    </row>
    <row r="21">
      <c r="A21" s="14" t="inlineStr">
        <is>
          <t>FULLY SIGNED - COMPL Huurovereenkomst - Heijmans - Hugo de Grootlaan 23 's-Hertogenbosch V2 30-9-2025.pdf</t>
        </is>
      </c>
      <c r="B21" s="14" t="n"/>
      <c r="C21" s="15" t="inlineStr">
        <is>
          <t>SqM</t>
        </is>
      </c>
      <c r="D21" s="14" t="n"/>
      <c r="E21" s="14" t="n"/>
      <c r="F21" s="14" t="n"/>
      <c r="G21" s="14" t="n"/>
      <c r="H21" s="14" t="n">
        <v>0.95</v>
      </c>
    </row>
    <row r="22">
      <c r="A22" s="14" t="inlineStr">
        <is>
          <t>FULLY SIGNED - DEF_COMPL_Huurovereenkomst_Robo_Charge_-_Campus_Offices_-_20260220.pdf</t>
        </is>
      </c>
      <c r="B22" s="14" t="n"/>
      <c r="C22" s="15" t="inlineStr">
        <is>
          <t>SqM</t>
        </is>
      </c>
      <c r="D22" s="14" t="n"/>
      <c r="E22" s="14" t="n"/>
      <c r="F22" s="14" t="n"/>
      <c r="G22" s="14" t="n"/>
      <c r="H22" s="14" t="n">
        <v>0.95</v>
      </c>
    </row>
    <row r="23">
      <c r="A23" s="14" t="inlineStr">
        <is>
          <t>FULLY SIGNED - Onderhuurovereenkomst Aartshertogenlaan 223, `s-Hertogenbosch - Koning Willem I College B.V. 2606202.pdf</t>
        </is>
      </c>
      <c r="B23" s="14" t="n"/>
      <c r="C23" s="15" t="inlineStr">
        <is>
          <t>SqM</t>
        </is>
      </c>
      <c r="D23" s="14" t="n"/>
      <c r="E23" s="14" t="n"/>
      <c r="F23" s="14" t="n"/>
      <c r="G23" s="14" t="n"/>
      <c r="H23" s="14" t="n">
        <v>0.9647668393782383</v>
      </c>
    </row>
    <row r="24">
      <c r="A24" s="14" t="inlineStr">
        <is>
          <t>FULLY SIGNED COMPL_DEF_Huurovereenkomst_Bond_Bergschot_Breda.pdf</t>
        </is>
      </c>
      <c r="B24" s="14" t="n"/>
      <c r="C24" s="15" t="inlineStr">
        <is>
          <t>SqM</t>
        </is>
      </c>
      <c r="D24" s="14" t="n"/>
      <c r="E24" s="14" t="n"/>
      <c r="F24" s="14" t="n"/>
      <c r="G24" s="14" t="n"/>
      <c r="H24" s="14" t="n">
        <v>0.9695876288659794</v>
      </c>
    </row>
    <row r="25">
      <c r="A25" s="14" t="inlineStr">
        <is>
          <t>FullySigned_Allonge_II_Virtual_Vaults_Nederland.pdf</t>
        </is>
      </c>
      <c r="B25" s="14" t="n"/>
      <c r="C25" s="15" t="inlineStr">
        <is>
          <t>SqM</t>
        </is>
      </c>
      <c r="D25" s="14" t="n"/>
      <c r="E25" s="14" t="n"/>
      <c r="F25" s="14" t="n"/>
      <c r="G25" s="14" t="n"/>
      <c r="H25" s="14" t="n">
        <v>0.9598958333333334</v>
      </c>
    </row>
    <row r="26">
      <c r="A26" s="14" t="inlineStr">
        <is>
          <t>FullySigned_Lease_Agreement_Neste_EDGE_Coolsingel.pdf</t>
        </is>
      </c>
      <c r="B26" s="14" t="n"/>
      <c r="C26" s="15" t="inlineStr">
        <is>
          <t>SqM</t>
        </is>
      </c>
      <c r="D26" s="14" t="n"/>
      <c r="E26" s="14" t="n"/>
      <c r="F26" s="14" t="n"/>
      <c r="G26" s="14" t="n"/>
      <c r="H26" s="14" t="n">
        <v>0.95</v>
      </c>
    </row>
    <row r="27">
      <c r="A27" s="14" t="inlineStr">
        <is>
          <t>HOK Waalhaven Group (signed).pdf</t>
        </is>
      </c>
      <c r="B27" s="14" t="n"/>
      <c r="C27" s="15" t="inlineStr">
        <is>
          <t>SqM</t>
        </is>
      </c>
      <c r="D27" s="14" t="n"/>
      <c r="E27" s="14" t="n"/>
      <c r="F27" s="14" t="n"/>
      <c r="G27" s="14" t="n"/>
      <c r="H27" s="14" t="n">
        <v>0.95</v>
      </c>
    </row>
    <row r="28">
      <c r="A28" s="14" t="inlineStr">
        <is>
          <t>Hovk Avans  (3e+4e+5e verd.) 20140425.pdf</t>
        </is>
      </c>
      <c r="B28" s="14" t="n"/>
      <c r="C28" s="15" t="inlineStr">
        <is>
          <t>SqM</t>
        </is>
      </c>
      <c r="D28" s="14" t="n"/>
      <c r="E28" s="14" t="n"/>
      <c r="F28" s="14" t="n"/>
      <c r="G28" s="14" t="n"/>
      <c r="H28" s="14" t="n">
        <v>0.9500000000000001</v>
      </c>
    </row>
    <row r="29">
      <c r="A29" s="14" t="inlineStr">
        <is>
          <t>HOVK Power4People 2025.pdf</t>
        </is>
      </c>
      <c r="B29" s="14" t="n"/>
      <c r="C29" s="15" t="inlineStr">
        <is>
          <t>--</t>
        </is>
      </c>
      <c r="D29" s="14" t="n"/>
      <c r="E29" s="14" t="n"/>
      <c r="F29" s="14" t="n"/>
      <c r="G29" s="14" t="n"/>
      <c r="H29" s="14" t="n">
        <v>0.9549738219895287</v>
      </c>
    </row>
    <row r="30">
      <c r="A30" s="14" t="inlineStr">
        <is>
          <t>Huurovereenkomst (Semmie Group B.V.) - Wilhelminasingel 19, Breda.pdf</t>
        </is>
      </c>
      <c r="B30" s="14" t="n"/>
      <c r="C30" s="15" t="inlineStr">
        <is>
          <t>SqM</t>
        </is>
      </c>
      <c r="D30" s="14" t="n"/>
      <c r="E30" s="14" t="n"/>
      <c r="F30" s="14" t="n"/>
      <c r="G30" s="14" t="n"/>
      <c r="H30" s="14" t="n">
        <v>0.95</v>
      </c>
    </row>
    <row r="31">
      <c r="A31" s="14" t="inlineStr">
        <is>
          <t>Huurovereenkomst - proces-verbaal van oplevering - sleuteloverdracht - Kennedyplein 101 - getekend.pdf</t>
        </is>
      </c>
      <c r="B31" s="14" t="n"/>
      <c r="C31" s="15" t="inlineStr">
        <is>
          <t>SqM</t>
        </is>
      </c>
      <c r="D31" s="14" t="n"/>
      <c r="E31" s="14" t="n"/>
      <c r="F31" s="14" t="n"/>
      <c r="G31" s="14" t="n"/>
      <c r="H31" s="14" t="n">
        <v>0.9598958333333334</v>
      </c>
    </row>
    <row r="32">
      <c r="A32" s="14" t="inlineStr">
        <is>
          <t>Huurovereenkomst Bijster 5 te Breda getekend.pdf</t>
        </is>
      </c>
      <c r="B32" s="14" t="n"/>
      <c r="C32" s="15" t="inlineStr">
        <is>
          <t>SqM</t>
        </is>
      </c>
      <c r="D32" s="14" t="n"/>
      <c r="E32" s="14" t="n"/>
      <c r="F32" s="14" t="n"/>
      <c r="G32" s="14" t="n"/>
      <c r="H32" s="14" t="n">
        <v>0.9695876288659794</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SqM</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n"/>
      <c r="D4" s="14" t="n"/>
      <c r="E4" s="14" t="n"/>
      <c r="F4" s="14" t="n"/>
      <c r="G4" s="14" t="n"/>
      <c r="H4" s="14" t="n"/>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A.05.09</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n"/>
      <c r="D7" s="14" t="n"/>
      <c r="E7" s="14" t="n"/>
      <c r="F7" s="14" t="n"/>
      <c r="G7" s="14" t="n"/>
      <c r="H7" s="14" t="n"/>
      <c r="K7" s="17" t="inlineStr">
        <is>
          <t>Total Docs Tested</t>
        </is>
      </c>
      <c r="L7" s="19">
        <f>COUNTA(A2:A36)</f>
        <v/>
      </c>
      <c r="N7" s="17" t="inlineStr">
        <is>
          <t>Total Docs Tested</t>
        </is>
      </c>
      <c r="O7" s="19">
        <f>COUNTA(A2:A36)</f>
        <v/>
      </c>
    </row>
    <row r="8">
      <c r="A8" s="14" t="inlineStr">
        <is>
          <t>20260629 HOK ADHDcentraal BV (1).pdf</t>
        </is>
      </c>
      <c r="B8" s="14" t="n"/>
      <c r="C8" s="15" t="n"/>
      <c r="D8" s="14" t="n"/>
      <c r="E8" s="14" t="n"/>
      <c r="F8" s="14" t="n"/>
      <c r="G8" s="14" t="n"/>
      <c r="H8" s="14" t="n"/>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n"/>
      <c r="D10" s="14" t="n"/>
      <c r="E10" s="14" t="n"/>
      <c r="F10" s="14" t="n"/>
      <c r="G10" s="14" t="n"/>
      <c r="H10" s="14" t="n"/>
      <c r="K10" s="20" t="inlineStr">
        <is>
          <t>Highlighted rows = file(s) not in the annotation sheet; excluded from all metrics above.</t>
        </is>
      </c>
    </row>
    <row r="11">
      <c r="A11" s="14" t="inlineStr">
        <is>
          <t>20270801 - Getekende Allonge II Advario BV.pdf</t>
        </is>
      </c>
      <c r="B11" s="14" t="n"/>
      <c r="C11" s="15" t="n"/>
      <c r="D11" s="14" t="n"/>
      <c r="E11" s="14" t="n"/>
      <c r="F11" s="14" t="n"/>
      <c r="G11" s="14" t="n"/>
      <c r="H11" s="14" t="n"/>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n"/>
      <c r="C13" s="15" t="n"/>
      <c r="D13" s="14" t="n"/>
      <c r="E13" s="14" t="n"/>
      <c r="F13" s="14" t="n"/>
      <c r="G13" s="14" t="n"/>
      <c r="H13" s="14" t="n"/>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n"/>
      <c r="D16" s="14" t="n"/>
      <c r="E16" s="14" t="n"/>
      <c r="F16" s="14" t="n"/>
      <c r="G16" s="14" t="n"/>
      <c r="H16" s="14" t="n"/>
      <c r="K16" t="n">
        <v>100</v>
      </c>
      <c r="M16" t="inlineStr">
        <is>
          <t>FN</t>
        </is>
      </c>
    </row>
    <row r="17">
      <c r="A17" s="14" t="inlineStr">
        <is>
          <t>COMPL Huurovereenkomst - Stichting CCE - Kantoorgebouw Metzpoint I Dr. Holtroplaan - Fully Signed.pdf</t>
        </is>
      </c>
      <c r="B17" s="14" t="n"/>
      <c r="C17" s="15" t="n"/>
      <c r="D17" s="14" t="n"/>
      <c r="E17" s="14" t="n"/>
      <c r="F17" s="14" t="n"/>
      <c r="G17" s="14" t="n"/>
      <c r="H17" s="14" t="n"/>
      <c r="M17" t="inlineStr">
        <is>
          <t>TN</t>
        </is>
      </c>
    </row>
    <row r="18">
      <c r="A18" s="14" t="inlineStr">
        <is>
          <t>COMPL Regel Partners - HOVK - Luchthavenweg 81 - 20260728.pdf</t>
        </is>
      </c>
      <c r="B18" s="14" t="n"/>
      <c r="C18" s="15" t="n"/>
      <c r="D18" s="14" t="n"/>
      <c r="E18" s="14" t="n"/>
      <c r="F18" s="14" t="n"/>
      <c r="G18" s="14" t="n"/>
      <c r="H18" s="14" t="n"/>
    </row>
    <row r="19">
      <c r="A19" s="14" t="inlineStr">
        <is>
          <t>COMPL_-_Onderhuurovereenkomst_Zelfstroom_B.V._-_50five_B.V._-_kantoorgebouw_Riva_-_05032026.pdf</t>
        </is>
      </c>
      <c r="B19" s="14" t="n"/>
      <c r="C19" s="15" t="n"/>
      <c r="D19" s="14" t="n"/>
      <c r="E19" s="14" t="n"/>
      <c r="F19" s="14" t="n"/>
      <c r="G19" s="14" t="n"/>
      <c r="H19" s="14" t="n"/>
      <c r="K19" s="17" t="inlineStr">
        <is>
          <t>Field:</t>
        </is>
      </c>
      <c r="L19" t="inlineStr">
        <is>
          <t>floor_suite / suite_number</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n"/>
      <c r="D21" s="14" t="n"/>
      <c r="E21" s="14" t="n"/>
      <c r="F21" s="14" t="n"/>
      <c r="G21" s="14" t="n"/>
      <c r="H21" s="14" t="n"/>
    </row>
    <row r="22">
      <c r="A22" s="14" t="inlineStr">
        <is>
          <t>FULLY SIGNED - DEF_COMPL_Huurovereenkomst_Robo_Charge_-_Campus_Offices_-_20260220.pdf</t>
        </is>
      </c>
      <c r="B22" s="14" t="n"/>
      <c r="C22" s="15" t="n"/>
      <c r="D22" s="14" t="n"/>
      <c r="E22" s="14" t="n"/>
      <c r="F22" s="14" t="n"/>
      <c r="G22" s="14" t="n"/>
      <c r="H22" s="14" t="n"/>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n"/>
      <c r="D24" s="14" t="n"/>
      <c r="E24" s="14" t="n"/>
      <c r="F24" s="14" t="n"/>
      <c r="G24" s="14" t="n"/>
      <c r="H24" s="14" t="n"/>
    </row>
    <row r="25">
      <c r="A25" s="14" t="inlineStr">
        <is>
          <t>FullySigned_Allonge_II_Virtual_Vaults_Nederland.pdf</t>
        </is>
      </c>
      <c r="B25" s="14" t="n"/>
      <c r="C25" s="15" t="n"/>
      <c r="D25" s="14" t="n"/>
      <c r="E25" s="14" t="n"/>
      <c r="F25" s="14" t="n"/>
      <c r="G25" s="14" t="n"/>
      <c r="H25" s="14" t="n"/>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n"/>
      <c r="C27" s="15" t="n"/>
      <c r="D27" s="14" t="n"/>
      <c r="E27" s="14" t="n"/>
      <c r="F27" s="14" t="n"/>
      <c r="G27" s="14" t="n"/>
      <c r="H27" s="14" t="n"/>
    </row>
    <row r="28">
      <c r="A28" s="14" t="inlineStr">
        <is>
          <t>Hovk Avans  (3e+4e+5e verd.) 20140425.pdf</t>
        </is>
      </c>
      <c r="B28" s="14" t="n"/>
      <c r="C28" s="15" t="n"/>
      <c r="D28" s="14" t="n"/>
      <c r="E28" s="14" t="n"/>
      <c r="F28" s="14" t="n"/>
      <c r="G28" s="14" t="n"/>
      <c r="H28" s="14" t="n"/>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n"/>
      <c r="D32" s="14" t="n"/>
      <c r="E32" s="14" t="n"/>
      <c r="F32" s="14" t="n"/>
      <c r="G32" s="14" t="n"/>
      <c r="H32" s="14" t="n"/>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n"/>
      <c r="D35" s="14" t="n"/>
      <c r="E35" s="14" t="n"/>
      <c r="F35" s="14" t="n"/>
      <c r="G35" s="14" t="n"/>
      <c r="H35" s="14" t="n"/>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Occupying</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Future</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Future</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Occupying</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Future</t>
        </is>
      </c>
      <c r="D6" s="14" t="n"/>
      <c r="E6" s="14" t="n"/>
      <c r="F6" s="14" t="n"/>
      <c r="G6" s="14" t="n"/>
      <c r="H6" s="14" t="n">
        <v>0.9695876288659794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Future</t>
        </is>
      </c>
      <c r="D7" s="14" t="n"/>
      <c r="E7" s="14" t="n"/>
      <c r="F7" s="14" t="n"/>
      <c r="G7" s="14" t="n"/>
      <c r="H7" s="14" t="n">
        <v>0.9695876288659794</v>
      </c>
      <c r="K7" s="17" t="inlineStr">
        <is>
          <t>Total Docs Tested</t>
        </is>
      </c>
      <c r="L7" s="19">
        <f>COUNTA(A2:A36)</f>
        <v/>
      </c>
      <c r="N7" s="17" t="inlineStr">
        <is>
          <t>Total Docs Tested</t>
        </is>
      </c>
      <c r="O7" s="19">
        <f>COUNTA(A2:A36)</f>
        <v/>
      </c>
    </row>
    <row r="8">
      <c r="A8" s="14" t="inlineStr">
        <is>
          <t>20260629 HOK ADHDcentraal BV (1).pdf</t>
        </is>
      </c>
      <c r="B8" s="14" t="n"/>
      <c r="C8" s="15" t="inlineStr">
        <is>
          <t>Future</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Future</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Future</t>
        </is>
      </c>
      <c r="D10" s="14" t="n"/>
      <c r="E10" s="14" t="n"/>
      <c r="F10" s="14" t="n"/>
      <c r="G10" s="14" t="n"/>
      <c r="H10" s="14" t="n">
        <v>0.9598958333333334</v>
      </c>
      <c r="K10" s="20" t="inlineStr">
        <is>
          <t>Highlighted rows = file(s) not in the annotation sheet; excluded from all metrics above.</t>
        </is>
      </c>
    </row>
    <row r="11">
      <c r="A11" s="14" t="inlineStr">
        <is>
          <t>20270801 - Getekende Allonge II Advario BV.pdf</t>
        </is>
      </c>
      <c r="B11" s="14" t="n"/>
      <c r="C11" s="15" t="inlineStr">
        <is>
          <t>Occupying</t>
        </is>
      </c>
      <c r="D11" s="14" t="n"/>
      <c r="E11" s="14" t="n"/>
      <c r="F11" s="14" t="n"/>
      <c r="G11" s="14" t="n"/>
      <c r="H11" s="14" t="n">
        <v>0.95</v>
      </c>
      <c r="K11" s="17" t="inlineStr">
        <is>
          <t>Validation Rules Example</t>
        </is>
      </c>
    </row>
    <row r="12">
      <c r="A12" s="14" t="inlineStr">
        <is>
          <t>240119 HOVK Spoorlaan 446-448 Tilburg signed.pdf</t>
        </is>
      </c>
      <c r="B12" s="14" t="n"/>
      <c r="C12" s="15" t="inlineStr">
        <is>
          <t>Occupying</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Occupying</t>
        </is>
      </c>
      <c r="D13" s="14" t="n"/>
      <c r="E13" s="14" t="n"/>
      <c r="F13" s="14" t="n"/>
      <c r="G13" s="14" t="n"/>
      <c r="H13" s="14" t="n">
        <v>0.9598958333333334</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Future</t>
        </is>
      </c>
      <c r="D16" s="14" t="n"/>
      <c r="E16" s="14" t="n"/>
      <c r="F16" s="14" t="n"/>
      <c r="G16" s="14" t="n"/>
      <c r="H16" s="14" t="n">
        <v>0.9695876288659794</v>
      </c>
      <c r="K16" t="n">
        <v>100</v>
      </c>
      <c r="M16" t="inlineStr">
        <is>
          <t>FN</t>
        </is>
      </c>
    </row>
    <row r="17">
      <c r="A17" s="14" t="inlineStr">
        <is>
          <t>COMPL Huurovereenkomst - Stichting CCE - Kantoorgebouw Metzpoint I Dr. Holtroplaan - Fully Signed.pdf</t>
        </is>
      </c>
      <c r="B17" s="14" t="n"/>
      <c r="C17" s="15" t="inlineStr">
        <is>
          <t>Occupying</t>
        </is>
      </c>
      <c r="D17" s="14" t="n"/>
      <c r="E17" s="14" t="n"/>
      <c r="F17" s="14" t="n"/>
      <c r="G17" s="14" t="n"/>
      <c r="H17" s="14" t="n">
        <v>0.9695876288659794</v>
      </c>
      <c r="M17" t="inlineStr">
        <is>
          <t>TN</t>
        </is>
      </c>
    </row>
    <row r="18">
      <c r="A18" s="14" t="inlineStr">
        <is>
          <t>COMPL Regel Partners - HOVK - Luchthavenweg 81 - 20260728.pdf</t>
        </is>
      </c>
      <c r="B18" s="14" t="n"/>
      <c r="C18" s="15" t="inlineStr">
        <is>
          <t>Occupying</t>
        </is>
      </c>
      <c r="D18" s="14" t="n"/>
      <c r="E18" s="14" t="n"/>
      <c r="F18" s="14" t="n"/>
      <c r="G18" s="14" t="n"/>
      <c r="H18" s="14" t="n">
        <v>0.9695876288659794</v>
      </c>
    </row>
    <row r="19">
      <c r="A19" s="14" t="inlineStr">
        <is>
          <t>COMPL_-_Onderhuurovereenkomst_Zelfstroom_B.V._-_50five_B.V._-_kantoorgebouw_Riva_-_05032026.pdf</t>
        </is>
      </c>
      <c r="B19" s="14" t="n"/>
      <c r="C19" s="15" t="inlineStr">
        <is>
          <t>Future</t>
        </is>
      </c>
      <c r="D19" s="14" t="n"/>
      <c r="E19" s="14" t="n"/>
      <c r="F19" s="14" t="n"/>
      <c r="G19" s="14" t="n"/>
      <c r="H19" s="14" t="n">
        <v>0.9695876288659794</v>
      </c>
      <c r="K19" s="17" t="inlineStr">
        <is>
          <t>Field:</t>
        </is>
      </c>
      <c r="L19" t="inlineStr">
        <is>
          <t>floor_suite / tenancy_status_desc</t>
        </is>
      </c>
    </row>
    <row r="20">
      <c r="A20" s="14" t="inlineStr">
        <is>
          <t>Den Bosch, Ruwekampweg 4, HOVK getekend.pdf</t>
        </is>
      </c>
      <c r="B20" s="14" t="n"/>
      <c r="C20" s="15" t="inlineStr">
        <is>
          <t>Occupying</t>
        </is>
      </c>
      <c r="D20" s="14" t="n"/>
      <c r="E20" s="14" t="n"/>
      <c r="F20" s="14" t="n"/>
      <c r="G20" s="14" t="n"/>
      <c r="H20" s="14" t="n">
        <v>0.9647668393782383</v>
      </c>
    </row>
    <row r="21">
      <c r="A21" s="14" t="inlineStr">
        <is>
          <t>FULLY SIGNED - COMPL Huurovereenkomst - Heijmans - Hugo de Grootlaan 23 's-Hertogenbosch V2 30-9-2025.pdf</t>
        </is>
      </c>
      <c r="B21" s="14" t="n"/>
      <c r="C21" s="15" t="inlineStr">
        <is>
          <t>Future</t>
        </is>
      </c>
      <c r="D21" s="14" t="n"/>
      <c r="E21" s="14" t="n"/>
      <c r="F21" s="14" t="n"/>
      <c r="G21" s="14" t="n"/>
      <c r="H21" s="14" t="n">
        <v>0.95</v>
      </c>
    </row>
    <row r="22">
      <c r="A22" s="14" t="inlineStr">
        <is>
          <t>FULLY SIGNED - DEF_COMPL_Huurovereenkomst_Robo_Charge_-_Campus_Offices_-_20260220.pdf</t>
        </is>
      </c>
      <c r="B22" s="14" t="n"/>
      <c r="C22" s="15" t="inlineStr">
        <is>
          <t>Future</t>
        </is>
      </c>
      <c r="D22" s="14" t="n"/>
      <c r="E22" s="14" t="n"/>
      <c r="F22" s="14" t="n"/>
      <c r="G22" s="14" t="n"/>
      <c r="H22" s="14" t="n">
        <v>0.95</v>
      </c>
    </row>
    <row r="23">
      <c r="A23" s="14" t="inlineStr">
        <is>
          <t>FULLY SIGNED - Onderhuurovereenkomst Aartshertogenlaan 223, `s-Hertogenbosch - Koning Willem I College B.V. 2606202.pdf</t>
        </is>
      </c>
      <c r="B23" s="14" t="n"/>
      <c r="C23" s="15" t="inlineStr">
        <is>
          <t>Future</t>
        </is>
      </c>
      <c r="D23" s="14" t="n"/>
      <c r="E23" s="14" t="n"/>
      <c r="F23" s="14" t="n"/>
      <c r="G23" s="14" t="n"/>
      <c r="H23" s="14" t="n">
        <v>0.9647668393782383</v>
      </c>
    </row>
    <row r="24">
      <c r="A24" s="14" t="inlineStr">
        <is>
          <t>FULLY SIGNED COMPL_DEF_Huurovereenkomst_Bond_Bergschot_Breda.pdf</t>
        </is>
      </c>
      <c r="B24" s="14" t="n"/>
      <c r="C24" s="15" t="inlineStr">
        <is>
          <t>Occupying</t>
        </is>
      </c>
      <c r="D24" s="14" t="n"/>
      <c r="E24" s="14" t="n"/>
      <c r="F24" s="14" t="n"/>
      <c r="G24" s="14" t="n"/>
      <c r="H24" s="14" t="n">
        <v>0.9695876288659794</v>
      </c>
    </row>
    <row r="25">
      <c r="A25" s="14" t="inlineStr">
        <is>
          <t>FullySigned_Allonge_II_Virtual_Vaults_Nederland.pdf</t>
        </is>
      </c>
      <c r="B25" s="14" t="n"/>
      <c r="C25" s="15" t="inlineStr">
        <is>
          <t>Occupying</t>
        </is>
      </c>
      <c r="D25" s="14" t="n"/>
      <c r="E25" s="14" t="n"/>
      <c r="F25" s="14" t="n"/>
      <c r="G25" s="14" t="n"/>
      <c r="H25" s="14" t="n">
        <v>0.9598958333333334</v>
      </c>
    </row>
    <row r="26">
      <c r="A26" s="14" t="inlineStr">
        <is>
          <t>FullySigned_Lease_Agreement_Neste_EDGE_Coolsingel.pdf</t>
        </is>
      </c>
      <c r="B26" s="14" t="n"/>
      <c r="C26" s="15" t="inlineStr">
        <is>
          <t>Future</t>
        </is>
      </c>
      <c r="D26" s="14" t="n"/>
      <c r="E26" s="14" t="n"/>
      <c r="F26" s="14" t="n"/>
      <c r="G26" s="14" t="n"/>
      <c r="H26" s="14" t="n">
        <v>0.95</v>
      </c>
    </row>
    <row r="27">
      <c r="A27" s="14" t="inlineStr">
        <is>
          <t>HOK Waalhaven Group (signed).pdf</t>
        </is>
      </c>
      <c r="B27" s="14" t="n"/>
      <c r="C27" s="15" t="inlineStr">
        <is>
          <t>Future</t>
        </is>
      </c>
      <c r="D27" s="14" t="n"/>
      <c r="E27" s="14" t="n"/>
      <c r="F27" s="14" t="n"/>
      <c r="G27" s="14" t="n"/>
      <c r="H27" s="14" t="n">
        <v>0.95</v>
      </c>
    </row>
    <row r="28">
      <c r="A28" s="14" t="inlineStr">
        <is>
          <t>Hovk Avans  (3e+4e+5e verd.) 20140425.pdf</t>
        </is>
      </c>
      <c r="B28" s="14" t="n"/>
      <c r="C28" s="15" t="inlineStr">
        <is>
          <t>Occupying</t>
        </is>
      </c>
      <c r="D28" s="14" t="n"/>
      <c r="E28" s="14" t="n"/>
      <c r="F28" s="14" t="n"/>
      <c r="G28" s="14" t="n"/>
      <c r="H28" s="14" t="n">
        <v>0.9500000000000001</v>
      </c>
    </row>
    <row r="29">
      <c r="A29" s="14" t="inlineStr">
        <is>
          <t>HOVK Power4People 2025.pdf</t>
        </is>
      </c>
      <c r="B29" s="14" t="n"/>
      <c r="C29" s="15" t="inlineStr">
        <is>
          <t>Future</t>
        </is>
      </c>
      <c r="D29" s="14" t="n"/>
      <c r="E29" s="14" t="n"/>
      <c r="F29" s="14" t="n"/>
      <c r="G29" s="14" t="n"/>
      <c r="H29" s="14" t="n">
        <v>0.9549738219895287</v>
      </c>
    </row>
    <row r="30">
      <c r="A30" s="14" t="inlineStr">
        <is>
          <t>Huurovereenkomst (Semmie Group B.V.) - Wilhelminasingel 19, Breda.pdf</t>
        </is>
      </c>
      <c r="B30" s="14" t="n"/>
      <c r="C30" s="15" t="inlineStr">
        <is>
          <t>Occupying</t>
        </is>
      </c>
      <c r="D30" s="14" t="n"/>
      <c r="E30" s="14" t="n"/>
      <c r="F30" s="14" t="n"/>
      <c r="G30" s="14" t="n"/>
      <c r="H30" s="14" t="n">
        <v>0.95</v>
      </c>
    </row>
    <row r="31">
      <c r="A31" s="14" t="inlineStr">
        <is>
          <t>Huurovereenkomst - proces-verbaal van oplevering - sleuteloverdracht - Kennedyplein 101 - getekend.pdf</t>
        </is>
      </c>
      <c r="B31" s="14" t="n"/>
      <c r="C31" s="15" t="inlineStr">
        <is>
          <t>Future</t>
        </is>
      </c>
      <c r="D31" s="14" t="n"/>
      <c r="E31" s="14" t="n"/>
      <c r="F31" s="14" t="n"/>
      <c r="G31" s="14" t="n"/>
      <c r="H31" s="14" t="n">
        <v>0.9598958333333334</v>
      </c>
    </row>
    <row r="32">
      <c r="A32" s="14" t="inlineStr">
        <is>
          <t>Huurovereenkomst Bijster 5 te Breda getekend.pdf</t>
        </is>
      </c>
      <c r="B32" s="14" t="n"/>
      <c r="C32" s="15" t="inlineStr">
        <is>
          <t>Future</t>
        </is>
      </c>
      <c r="D32" s="14" t="n"/>
      <c r="E32" s="14" t="n"/>
      <c r="F32" s="14" t="n"/>
      <c r="G32" s="14" t="n"/>
      <c r="H32" s="14" t="n">
        <v>0.9695876288659794</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Expired</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inlineStr">
        <is>
          <t>Executed lease in effect</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inlineStr">
        <is>
          <t>Lease commencement date is in the future</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Lease commencement date is in the future</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Executed lease in effect</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inlineStr">
        <is>
          <t>Lease commencement date is in the future</t>
        </is>
      </c>
      <c r="D6" s="14" t="n"/>
      <c r="E6" s="14" t="n"/>
      <c r="F6" s="14" t="n"/>
      <c r="G6" s="14" t="n"/>
      <c r="H6" s="14" t="n">
        <v>0.9695876288659794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Lease commencement date is in the future</t>
        </is>
      </c>
      <c r="D7" s="14" t="n"/>
      <c r="E7" s="14" t="n"/>
      <c r="F7" s="14" t="n"/>
      <c r="G7" s="14" t="n"/>
      <c r="H7" s="14" t="n">
        <v>0.9695876288659794</v>
      </c>
      <c r="K7" s="17" t="inlineStr">
        <is>
          <t>Total Docs Tested</t>
        </is>
      </c>
      <c r="L7" s="19">
        <f>COUNTA(A2:A36)</f>
        <v/>
      </c>
      <c r="N7" s="17" t="inlineStr">
        <is>
          <t>Total Docs Tested</t>
        </is>
      </c>
      <c r="O7" s="19">
        <f>COUNTA(A2:A36)</f>
        <v/>
      </c>
    </row>
    <row r="8">
      <c r="A8" s="14" t="inlineStr">
        <is>
          <t>20260629 HOK ADHDcentraal BV (1).pdf</t>
        </is>
      </c>
      <c r="B8" s="14" t="n"/>
      <c r="C8" s="15" t="inlineStr">
        <is>
          <t>Lease commencement date is in the future</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inlineStr">
        <is>
          <t>Lease commencement date is in the future</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Lease commencement date is in the future</t>
        </is>
      </c>
      <c r="D10" s="14" t="n"/>
      <c r="E10" s="14" t="n"/>
      <c r="F10" s="14" t="n"/>
      <c r="G10" s="14" t="n"/>
      <c r="H10" s="14" t="n">
        <v>0.9598958333333334</v>
      </c>
      <c r="K10" s="20" t="inlineStr">
        <is>
          <t>Highlighted rows = file(s) not in the annotation sheet; excluded from all metrics above.</t>
        </is>
      </c>
    </row>
    <row r="11">
      <c r="A11" s="14" t="inlineStr">
        <is>
          <t>20270801 - Getekende Allonge II Advario BV.pdf</t>
        </is>
      </c>
      <c r="B11" s="14" t="n"/>
      <c r="C11" s="15" t="inlineStr">
        <is>
          <t>Executed lease in effect</t>
        </is>
      </c>
      <c r="D11" s="14" t="n"/>
      <c r="E11" s="14" t="n"/>
      <c r="F11" s="14" t="n"/>
      <c r="G11" s="14" t="n"/>
      <c r="H11" s="14" t="n">
        <v>0.95</v>
      </c>
      <c r="K11" s="17" t="inlineStr">
        <is>
          <t>Validation Rules Example</t>
        </is>
      </c>
    </row>
    <row r="12">
      <c r="A12" s="14" t="inlineStr">
        <is>
          <t>240119 HOVK Spoorlaan 446-448 Tilburg signed.pdf</t>
        </is>
      </c>
      <c r="B12" s="14" t="n"/>
      <c r="C12" s="15" t="inlineStr">
        <is>
          <t>Executed lease in effect</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Executed lease in effect</t>
        </is>
      </c>
      <c r="D13" s="14" t="n"/>
      <c r="E13" s="14" t="n"/>
      <c r="F13" s="14" t="n"/>
      <c r="G13" s="14" t="n"/>
      <c r="H13" s="14" t="n">
        <v>0.9598958333333334</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Lease commencement date is in the future</t>
        </is>
      </c>
      <c r="D16" s="14" t="n"/>
      <c r="E16" s="14" t="n"/>
      <c r="F16" s="14" t="n"/>
      <c r="G16" s="14" t="n"/>
      <c r="H16" s="14" t="n">
        <v>0.9695876288659794</v>
      </c>
      <c r="K16" t="n">
        <v>100</v>
      </c>
      <c r="M16" t="inlineStr">
        <is>
          <t>FN</t>
        </is>
      </c>
    </row>
    <row r="17">
      <c r="A17" s="14" t="inlineStr">
        <is>
          <t>COMPL Huurovereenkomst - Stichting CCE - Kantoorgebouw Metzpoint I Dr. Holtroplaan - Fully Signed.pdf</t>
        </is>
      </c>
      <c r="B17" s="14" t="n"/>
      <c r="C17" s="15" t="inlineStr">
        <is>
          <t>Executed lease in effect</t>
        </is>
      </c>
      <c r="D17" s="14" t="n"/>
      <c r="E17" s="14" t="n"/>
      <c r="F17" s="14" t="n"/>
      <c r="G17" s="14" t="n"/>
      <c r="H17" s="14" t="n">
        <v>0.9695876288659794</v>
      </c>
      <c r="M17" t="inlineStr">
        <is>
          <t>TN</t>
        </is>
      </c>
    </row>
    <row r="18">
      <c r="A18" s="14" t="inlineStr">
        <is>
          <t>COMPL Regel Partners - HOVK - Luchthavenweg 81 - 20260728.pdf</t>
        </is>
      </c>
      <c r="B18" s="14" t="n"/>
      <c r="C18" s="15" t="inlineStr">
        <is>
          <t>Executed lease in effect</t>
        </is>
      </c>
      <c r="D18" s="14" t="n"/>
      <c r="E18" s="14" t="n"/>
      <c r="F18" s="14" t="n"/>
      <c r="G18" s="14" t="n"/>
      <c r="H18" s="14" t="n">
        <v>0.9695876288659794</v>
      </c>
    </row>
    <row r="19">
      <c r="A19" s="14" t="inlineStr">
        <is>
          <t>COMPL_-_Onderhuurovereenkomst_Zelfstroom_B.V._-_50five_B.V._-_kantoorgebouw_Riva_-_05032026.pdf</t>
        </is>
      </c>
      <c r="B19" s="14" t="n"/>
      <c r="C19" s="15" t="inlineStr">
        <is>
          <t>Lease commencement date is in the future</t>
        </is>
      </c>
      <c r="D19" s="14" t="n"/>
      <c r="E19" s="14" t="n"/>
      <c r="F19" s="14" t="n"/>
      <c r="G19" s="14" t="n"/>
      <c r="H19" s="14" t="n">
        <v>0.9695876288659794</v>
      </c>
      <c r="K19" s="17" t="inlineStr">
        <is>
          <t>Field:</t>
        </is>
      </c>
      <c r="L19" t="inlineStr">
        <is>
          <t>floor_suite / tenancy_status_reason_desc</t>
        </is>
      </c>
    </row>
    <row r="20">
      <c r="A20" s="14" t="inlineStr">
        <is>
          <t>Den Bosch, Ruwekampweg 4, HOVK getekend.pdf</t>
        </is>
      </c>
      <c r="B20" s="14" t="n"/>
      <c r="C20" s="15" t="inlineStr">
        <is>
          <t>Executed lease in effect</t>
        </is>
      </c>
      <c r="D20" s="14" t="n"/>
      <c r="E20" s="14" t="n"/>
      <c r="F20" s="14" t="n"/>
      <c r="G20" s="14" t="n"/>
      <c r="H20" s="14" t="n">
        <v>0.9647668393782383</v>
      </c>
    </row>
    <row r="21">
      <c r="A21" s="14" t="inlineStr">
        <is>
          <t>FULLY SIGNED - COMPL Huurovereenkomst - Heijmans - Hugo de Grootlaan 23 's-Hertogenbosch V2 30-9-2025.pdf</t>
        </is>
      </c>
      <c r="B21" s="14" t="n"/>
      <c r="C21" s="15" t="inlineStr">
        <is>
          <t>Lease commencement date is in the future</t>
        </is>
      </c>
      <c r="D21" s="14" t="n"/>
      <c r="E21" s="14" t="n"/>
      <c r="F21" s="14" t="n"/>
      <c r="G21" s="14" t="n"/>
      <c r="H21" s="14" t="n">
        <v>0.95</v>
      </c>
    </row>
    <row r="22">
      <c r="A22" s="14" t="inlineStr">
        <is>
          <t>FULLY SIGNED - DEF_COMPL_Huurovereenkomst_Robo_Charge_-_Campus_Offices_-_20260220.pdf</t>
        </is>
      </c>
      <c r="B22" s="14" t="n"/>
      <c r="C22" s="15" t="inlineStr">
        <is>
          <t>Lease commencement date is in the future</t>
        </is>
      </c>
      <c r="D22" s="14" t="n"/>
      <c r="E22" s="14" t="n"/>
      <c r="F22" s="14" t="n"/>
      <c r="G22" s="14" t="n"/>
      <c r="H22" s="14" t="n">
        <v>0.95</v>
      </c>
    </row>
    <row r="23">
      <c r="A23" s="14" t="inlineStr">
        <is>
          <t>FULLY SIGNED - Onderhuurovereenkomst Aartshertogenlaan 223, `s-Hertogenbosch - Koning Willem I College B.V. 2606202.pdf</t>
        </is>
      </c>
      <c r="B23" s="14" t="n"/>
      <c r="C23" s="15" t="inlineStr">
        <is>
          <t>Lease commencement date is in the future</t>
        </is>
      </c>
      <c r="D23" s="14" t="n"/>
      <c r="E23" s="14" t="n"/>
      <c r="F23" s="14" t="n"/>
      <c r="G23" s="14" t="n"/>
      <c r="H23" s="14" t="n">
        <v>0.9647668393782383</v>
      </c>
    </row>
    <row r="24">
      <c r="A24" s="14" t="inlineStr">
        <is>
          <t>FULLY SIGNED COMPL_DEF_Huurovereenkomst_Bond_Bergschot_Breda.pdf</t>
        </is>
      </c>
      <c r="B24" s="14" t="n"/>
      <c r="C24" s="15" t="inlineStr">
        <is>
          <t>Executed lease in effect</t>
        </is>
      </c>
      <c r="D24" s="14" t="n"/>
      <c r="E24" s="14" t="n"/>
      <c r="F24" s="14" t="n"/>
      <c r="G24" s="14" t="n"/>
      <c r="H24" s="14" t="n">
        <v>0.9695876288659794</v>
      </c>
    </row>
    <row r="25">
      <c r="A25" s="14" t="inlineStr">
        <is>
          <t>FullySigned_Allonge_II_Virtual_Vaults_Nederland.pdf</t>
        </is>
      </c>
      <c r="B25" s="14" t="n"/>
      <c r="C25" s="15" t="inlineStr">
        <is>
          <t>Executed lease in effect</t>
        </is>
      </c>
      <c r="D25" s="14" t="n"/>
      <c r="E25" s="14" t="n"/>
      <c r="F25" s="14" t="n"/>
      <c r="G25" s="14" t="n"/>
      <c r="H25" s="14" t="n">
        <v>0.9598958333333334</v>
      </c>
    </row>
    <row r="26">
      <c r="A26" s="14" t="inlineStr">
        <is>
          <t>FullySigned_Lease_Agreement_Neste_EDGE_Coolsingel.pdf</t>
        </is>
      </c>
      <c r="B26" s="14" t="n"/>
      <c r="C26" s="15" t="inlineStr">
        <is>
          <t>Lease commencement date is in the future</t>
        </is>
      </c>
      <c r="D26" s="14" t="n"/>
      <c r="E26" s="14" t="n"/>
      <c r="F26" s="14" t="n"/>
      <c r="G26" s="14" t="n"/>
      <c r="H26" s="14" t="n">
        <v>0.95</v>
      </c>
    </row>
    <row r="27">
      <c r="A27" s="14" t="inlineStr">
        <is>
          <t>HOK Waalhaven Group (signed).pdf</t>
        </is>
      </c>
      <c r="B27" s="14" t="n"/>
      <c r="C27" s="15" t="inlineStr">
        <is>
          <t>Lease commencement date is in the future</t>
        </is>
      </c>
      <c r="D27" s="14" t="n"/>
      <c r="E27" s="14" t="n"/>
      <c r="F27" s="14" t="n"/>
      <c r="G27" s="14" t="n"/>
      <c r="H27" s="14" t="n">
        <v>0.95</v>
      </c>
    </row>
    <row r="28">
      <c r="A28" s="14" t="inlineStr">
        <is>
          <t>Hovk Avans  (3e+4e+5e verd.) 20140425.pdf</t>
        </is>
      </c>
      <c r="B28" s="14" t="n"/>
      <c r="C28" s="15" t="inlineStr">
        <is>
          <t>Executed lease in effect</t>
        </is>
      </c>
      <c r="D28" s="14" t="n"/>
      <c r="E28" s="14" t="n"/>
      <c r="F28" s="14" t="n"/>
      <c r="G28" s="14" t="n"/>
      <c r="H28" s="14" t="n">
        <v>0.9500000000000001</v>
      </c>
    </row>
    <row r="29">
      <c r="A29" s="14" t="inlineStr">
        <is>
          <t>HOVK Power4People 2025.pdf</t>
        </is>
      </c>
      <c r="B29" s="14" t="n"/>
      <c r="C29" s="15" t="inlineStr">
        <is>
          <t>Lease commencement date is in the future</t>
        </is>
      </c>
      <c r="D29" s="14" t="n"/>
      <c r="E29" s="14" t="n"/>
      <c r="F29" s="14" t="n"/>
      <c r="G29" s="14" t="n"/>
      <c r="H29" s="14" t="n">
        <v>0.9549738219895287</v>
      </c>
    </row>
    <row r="30">
      <c r="A30" s="14" t="inlineStr">
        <is>
          <t>Huurovereenkomst (Semmie Group B.V.) - Wilhelminasingel 19, Breda.pdf</t>
        </is>
      </c>
      <c r="B30" s="14" t="n"/>
      <c r="C30" s="15" t="inlineStr">
        <is>
          <t>Executed lease in effect</t>
        </is>
      </c>
      <c r="D30" s="14" t="n"/>
      <c r="E30" s="14" t="n"/>
      <c r="F30" s="14" t="n"/>
      <c r="G30" s="14" t="n"/>
      <c r="H30" s="14" t="n">
        <v>0.95</v>
      </c>
    </row>
    <row r="31">
      <c r="A31" s="14" t="inlineStr">
        <is>
          <t>Huurovereenkomst - proces-verbaal van oplevering - sleuteloverdracht - Kennedyplein 101 - getekend.pdf</t>
        </is>
      </c>
      <c r="B31" s="14" t="n"/>
      <c r="C31" s="15" t="inlineStr">
        <is>
          <t>Lease commencement date is in the future</t>
        </is>
      </c>
      <c r="D31" s="14" t="n"/>
      <c r="E31" s="14" t="n"/>
      <c r="F31" s="14" t="n"/>
      <c r="G31" s="14" t="n"/>
      <c r="H31" s="14" t="n">
        <v>0.9598958333333334</v>
      </c>
    </row>
    <row r="32">
      <c r="A32" s="14" t="inlineStr">
        <is>
          <t>Huurovereenkomst Bijster 5 te Breda getekend.pdf</t>
        </is>
      </c>
      <c r="B32" s="14" t="n"/>
      <c r="C32" s="15" t="inlineStr">
        <is>
          <t>Lease commencement date is in the future</t>
        </is>
      </c>
      <c r="D32" s="14" t="n"/>
      <c r="E32" s="14" t="n"/>
      <c r="F32" s="14" t="n"/>
      <c r="G32" s="14" t="n"/>
      <c r="H32" s="14" t="n">
        <v>0.9695876288659794</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Lease term expired</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ht="28.8" customHeight="1">
      <c r="A2" s="14" t="inlineStr">
        <is>
          <t>20181204 Huurovereenkomst (GETEKEND).PDF</t>
        </is>
      </c>
      <c r="B2" s="14" t="n"/>
      <c r="C2" s="15" t="inlineStr">
        <is>
          <t>The processing date 2026-09-21 falls within the executed lease term from 2019-01-01 through 2033-12-31.</t>
        </is>
      </c>
      <c r="D2" s="14" t="n"/>
      <c r="E2" s="14" t="n"/>
      <c r="F2" s="14" t="n"/>
      <c r="G2" s="14" t="n"/>
      <c r="H2" s="14" t="n">
        <v>0.9695876288659794</v>
      </c>
      <c r="K2" s="16" t="inlineStr">
        <is>
          <t>Metrics</t>
        </is>
      </c>
      <c r="L2" s="16" t="inlineStr">
        <is>
          <t>Percentage</t>
        </is>
      </c>
      <c r="N2" s="16" t="inlineStr">
        <is>
          <t>Metrics</t>
        </is>
      </c>
      <c r="O2" s="16" t="inlineStr">
        <is>
          <t>Percentage</t>
        </is>
      </c>
    </row>
    <row r="3" ht="28.8" customHeight="1">
      <c r="A3" s="14" t="inlineStr">
        <is>
          <t>2024.10.30_Office Rental Agreement Labs_Gruyter Fabriek.pdf</t>
        </is>
      </c>
      <c r="B3" s="14" t="n"/>
      <c r="C3" s="15" t="inlineStr">
        <is>
          <t>The executed lease commencement date 2025-01-01 is after the processing date 2026-09-21.</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ht="28.8" customHeight="1">
      <c r="A4" s="14" t="inlineStr">
        <is>
          <t>20240606_HOK AKD - EDGE Eindhoven execution version.pdf</t>
        </is>
      </c>
      <c r="B4" s="14" t="n"/>
      <c r="C4" s="15" t="inlineStr">
        <is>
          <t>The executed lease commencement date 2026-07-01 is after the processing date 2026-09-21.</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ht="28.8" customHeight="1">
      <c r="A5" s="14" t="inlineStr">
        <is>
          <t>20250117_HOK Duke Strategies - Hambaken A.05.09 DEF FULLY SIGNED.pdf</t>
        </is>
      </c>
      <c r="B5" s="14" t="n"/>
      <c r="C5" s="15" t="inlineStr">
        <is>
          <t>The processing date 2026-09-21 falls within the executed lease term from 2025-02-17 through 2026-02-16.</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ht="28.8" customHeight="1">
      <c r="A6" s="14" t="inlineStr">
        <is>
          <t>20251216 Lease agreement ASPEN - signed.pdf</t>
        </is>
      </c>
      <c r="B6" s="14" t="n"/>
      <c r="C6" s="15" t="inlineStr">
        <is>
          <t>The executed lease commencement date 2027-03-01 is after the processing date 2026-09-21.</t>
        </is>
      </c>
      <c r="D6" s="14" t="n"/>
      <c r="E6" s="14" t="n"/>
      <c r="F6" s="14" t="n"/>
      <c r="G6" s="14" t="n"/>
      <c r="H6" s="14" t="n">
        <v>0.9695876288659794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ht="28.8" customHeight="1">
      <c r="A7" s="14" t="inlineStr">
        <is>
          <t>20260220 Huurovereenkomst signed 20-02-2026.pdf</t>
        </is>
      </c>
      <c r="B7" s="14" t="n"/>
      <c r="C7" s="15" t="inlineStr">
        <is>
          <t>The executed lease commencement date 2026-03-01 is after the processing date 2026-09-21.</t>
        </is>
      </c>
      <c r="D7" s="14" t="n"/>
      <c r="E7" s="14" t="n"/>
      <c r="F7" s="14" t="n"/>
      <c r="G7" s="14" t="n"/>
      <c r="H7" s="14" t="n">
        <v>0.9695876288659794</v>
      </c>
      <c r="K7" s="17" t="inlineStr">
        <is>
          <t>Total Docs Tested</t>
        </is>
      </c>
      <c r="L7" s="19">
        <f>COUNTA(A2:A36)</f>
        <v/>
      </c>
      <c r="N7" s="17" t="inlineStr">
        <is>
          <t>Total Docs Tested</t>
        </is>
      </c>
      <c r="O7" s="19">
        <f>COUNTA(A2:A36)</f>
        <v/>
      </c>
    </row>
    <row r="8" ht="28.8" customHeight="1">
      <c r="A8" s="14" t="inlineStr">
        <is>
          <t>20260629 HOK ADHDcentraal BV (1).pdf</t>
        </is>
      </c>
      <c r="B8" s="14" t="n"/>
      <c r="C8" s="15" t="inlineStr">
        <is>
          <t>The executed lease commencement date 2026-09-01 is after the processing date 2026-09-21.</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ht="28.8" customHeight="1">
      <c r="A9" s="14" t="inlineStr">
        <is>
          <t>20260807_Happy_Village_B.V._Lease_Maasstadweg_tekenversie_incl._bijlagen en-GB.pdf</t>
        </is>
      </c>
      <c r="B9" s="14" t="n"/>
      <c r="C9" s="15" t="inlineStr">
        <is>
          <t>The executed lease commencement date 2027-01-01 is after the processing date 2026-09-21.</t>
        </is>
      </c>
      <c r="D9" s="14" t="n"/>
      <c r="E9" s="14" t="n"/>
      <c r="F9" s="14" t="n"/>
      <c r="G9" s="14" t="n"/>
      <c r="H9" s="14" t="n">
        <v>0.95</v>
      </c>
      <c r="K9" s="17" t="inlineStr">
        <is>
          <t>No Of Docs With Response</t>
        </is>
      </c>
      <c r="L9" s="19">
        <f>COUNTIFS(C2:C36,"&lt;&gt;")</f>
        <v/>
      </c>
      <c r="N9" s="17" t="inlineStr">
        <is>
          <t>No Of Docs With Response Pg</t>
        </is>
      </c>
      <c r="O9" s="19">
        <f>COUNTIFS(F2:F36,"&lt;&gt;")</f>
        <v/>
      </c>
    </row>
    <row r="10" ht="28.8" customHeight="1">
      <c r="A10" s="14" t="inlineStr">
        <is>
          <t>20260810 HOK ClustR BV.pdf</t>
        </is>
      </c>
      <c r="B10" s="14" t="n"/>
      <c r="C10" s="15" t="inlineStr">
        <is>
          <t>The executed lease commencement date 2026-10-01 is after the processing date 2026-09-21.</t>
        </is>
      </c>
      <c r="D10" s="14" t="n"/>
      <c r="E10" s="14" t="n"/>
      <c r="F10" s="14" t="n"/>
      <c r="G10" s="14" t="n"/>
      <c r="H10" s="14" t="n">
        <v>0.9598958333333334</v>
      </c>
      <c r="K10" s="20" t="inlineStr">
        <is>
          <t>Highlighted rows = file(s) not in the annotation sheet; excluded from all metrics above.</t>
        </is>
      </c>
    </row>
    <row r="11" ht="28.8" customHeight="1">
      <c r="A11" s="14" t="inlineStr">
        <is>
          <t>20270801 - Getekende Allonge II Advario BV.pdf</t>
        </is>
      </c>
      <c r="B11" s="14" t="n"/>
      <c r="C11" s="15" t="inlineStr">
        <is>
          <t>The processing date 2026-09-21 falls within the executed lease term from 2027-08-01 through 2032-07-31.</t>
        </is>
      </c>
      <c r="D11" s="14" t="n"/>
      <c r="E11" s="14" t="n"/>
      <c r="F11" s="14" t="n"/>
      <c r="G11" s="14" t="n"/>
      <c r="H11" s="14" t="n">
        <v>0.95</v>
      </c>
      <c r="K11" s="17" t="inlineStr">
        <is>
          <t>Validation Rules Example</t>
        </is>
      </c>
    </row>
    <row r="12" ht="28.8" customHeight="1">
      <c r="A12" s="14" t="inlineStr">
        <is>
          <t>240119 HOVK Spoorlaan 446-448 Tilburg signed.pdf</t>
        </is>
      </c>
      <c r="B12" s="14" t="n"/>
      <c r="C12" s="15" t="inlineStr">
        <is>
          <t>The processing date [2026-09-21] falls within the executed lease term from [2024-04-01] through [2027-03-31].</t>
        </is>
      </c>
      <c r="D12" s="14" t="n"/>
      <c r="E12" s="14" t="n"/>
      <c r="F12" s="14" t="n"/>
      <c r="G12" s="14" t="n"/>
      <c r="H12" s="14" t="n">
        <v>0.95</v>
      </c>
      <c r="K12" s="16" t="inlineStr">
        <is>
          <t>Manual Data</t>
        </is>
      </c>
      <c r="L12" s="16" t="inlineStr">
        <is>
          <t>Response Data</t>
        </is>
      </c>
      <c r="M12" s="16" t="inlineStr">
        <is>
          <t>Result</t>
        </is>
      </c>
    </row>
    <row r="13" ht="28.8" customHeight="1">
      <c r="A13" s="14" t="inlineStr">
        <is>
          <t>27001 Rijksvastgoedbedrijf Huurovereenkomst - __27-01-2026_9-07-56.pdf</t>
        </is>
      </c>
      <c r="B13" s="14" t="n"/>
      <c r="C13" s="15" t="inlineStr">
        <is>
          <t>The processing date 2026-09-21 falls within the executed lease term from 2019-09-01 through 2026-12-31.</t>
        </is>
      </c>
      <c r="D13" s="14" t="n"/>
      <c r="E13" s="14" t="n"/>
      <c r="F13" s="14" t="n"/>
      <c r="G13" s="14" t="n"/>
      <c r="H13" s="14" t="n">
        <v>0.9598958333333334</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ht="28.8" customHeight="1">
      <c r="A16" s="14" t="inlineStr">
        <is>
          <t>COMPL DEF Huurovereenkomst - Skybox - Pepperl+Fuchs - 20260204.pdf</t>
        </is>
      </c>
      <c r="B16" s="14" t="n"/>
      <c r="C16" s="15" t="inlineStr">
        <is>
          <t>The executed lease commencement date 2026-12-01 is after the processing date 2026-09-21.</t>
        </is>
      </c>
      <c r="D16" s="14" t="n"/>
      <c r="E16" s="14" t="n"/>
      <c r="F16" s="14" t="n"/>
      <c r="G16" s="14" t="n"/>
      <c r="H16" s="14" t="n">
        <v>0.9695876288659794</v>
      </c>
      <c r="K16" t="n">
        <v>100</v>
      </c>
      <c r="M16" t="inlineStr">
        <is>
          <t>FN</t>
        </is>
      </c>
    </row>
    <row r="17" ht="28.8" customHeight="1">
      <c r="A17" s="14" t="inlineStr">
        <is>
          <t>COMPL Huurovereenkomst - Stichting CCE - Kantoorgebouw Metzpoint I Dr. Holtroplaan - Fully Signed.pdf</t>
        </is>
      </c>
      <c r="B17" s="14" t="n"/>
      <c r="C17" s="15" t="inlineStr">
        <is>
          <t>The processing date 2026-09-21 falls within the executed lease term from 2025-05-01 through 2035-04-30.</t>
        </is>
      </c>
      <c r="D17" s="14" t="n"/>
      <c r="E17" s="14" t="n"/>
      <c r="F17" s="14" t="n"/>
      <c r="G17" s="14" t="n"/>
      <c r="H17" s="14" t="n">
        <v>0.9695876288659794</v>
      </c>
      <c r="M17" t="inlineStr">
        <is>
          <t>TN</t>
        </is>
      </c>
    </row>
    <row r="18" ht="28.8" customHeight="1">
      <c r="A18" s="14" t="inlineStr">
        <is>
          <t>COMPL Regel Partners - HOVK - Luchthavenweg 81 - 20260728.pdf</t>
        </is>
      </c>
      <c r="B18" s="14" t="n"/>
      <c r="C18" s="15" t="inlineStr">
        <is>
          <t>The processing date 2026-09-21 falls within the executed lease term from [commencement_date] through [expiration_date].</t>
        </is>
      </c>
      <c r="D18" s="14" t="n"/>
      <c r="E18" s="14" t="n"/>
      <c r="F18" s="14" t="n"/>
      <c r="G18" s="14" t="n"/>
      <c r="H18" s="14" t="n">
        <v>0.9695876288659794</v>
      </c>
    </row>
    <row r="19" ht="28.8" customHeight="1">
      <c r="A19" s="14" t="inlineStr">
        <is>
          <t>COMPL_-_Onderhuurovereenkomst_Zelfstroom_B.V._-_50five_B.V._-_kantoorgebouw_Riva_-_05032026.pdf</t>
        </is>
      </c>
      <c r="B19" s="14" t="n"/>
      <c r="C19" s="15" t="inlineStr">
        <is>
          <t>The executed lease commencement date [2026-04-01] is after the processing date [2026-09-21].</t>
        </is>
      </c>
      <c r="D19" s="14" t="n"/>
      <c r="E19" s="14" t="n"/>
      <c r="F19" s="14" t="n"/>
      <c r="G19" s="14" t="n"/>
      <c r="H19" s="14" t="n">
        <v>0.9695876288659794</v>
      </c>
      <c r="K19" s="17" t="inlineStr">
        <is>
          <t>Field:</t>
        </is>
      </c>
      <c r="L19" t="inlineStr">
        <is>
          <t>floor_suite / tenancy_status_reason_notes</t>
        </is>
      </c>
    </row>
    <row r="20" ht="28.8" customHeight="1">
      <c r="A20" s="14" t="inlineStr">
        <is>
          <t>Den Bosch, Ruwekampweg 4, HOVK getekend.pdf</t>
        </is>
      </c>
      <c r="B20" s="14" t="n"/>
      <c r="C20" s="15" t="inlineStr">
        <is>
          <t>The processing date 2026-09-21 falls within the executed lease term from 2017-01-01 through 2026-12-31.</t>
        </is>
      </c>
      <c r="D20" s="14" t="n"/>
      <c r="E20" s="14" t="n"/>
      <c r="F20" s="14" t="n"/>
      <c r="G20" s="14" t="n"/>
      <c r="H20" s="14" t="n">
        <v>0.9647668393782383</v>
      </c>
    </row>
    <row r="21" ht="28.8" customHeight="1">
      <c r="A21" s="14" t="inlineStr">
        <is>
          <t>FULLY SIGNED - COMPL Huurovereenkomst - Heijmans - Hugo de Grootlaan 23 's-Hertogenbosch V2 30-9-2025.pdf</t>
        </is>
      </c>
      <c r="B21" s="14" t="n"/>
      <c r="C21" s="15" t="inlineStr">
        <is>
          <t>The executed lease commencement date [2025-10-15] is after the processing date [2026-09-21].</t>
        </is>
      </c>
      <c r="D21" s="14" t="n"/>
      <c r="E21" s="14" t="n"/>
      <c r="F21" s="14" t="n"/>
      <c r="G21" s="14" t="n"/>
      <c r="H21" s="14" t="n">
        <v>0.95</v>
      </c>
    </row>
    <row r="22" ht="28.8" customHeight="1">
      <c r="A22" s="14" t="inlineStr">
        <is>
          <t>FULLY SIGNED - DEF_COMPL_Huurovereenkomst_Robo_Charge_-_Campus_Offices_-_20260220.pdf</t>
        </is>
      </c>
      <c r="B22" s="14" t="n"/>
      <c r="C22" s="15" t="inlineStr">
        <is>
          <t>The executed lease commencement date [2026-04-01] is after the processing date [2026-09-21].</t>
        </is>
      </c>
      <c r="D22" s="14" t="n"/>
      <c r="E22" s="14" t="n"/>
      <c r="F22" s="14" t="n"/>
      <c r="G22" s="14" t="n"/>
      <c r="H22" s="14" t="n">
        <v>0.95</v>
      </c>
    </row>
    <row r="23" ht="28.8" customHeight="1">
      <c r="A23" s="14" t="inlineStr">
        <is>
          <t>FULLY SIGNED - Onderhuurovereenkomst Aartshertogenlaan 223, `s-Hertogenbosch - Koning Willem I College B.V. 2606202.pdf</t>
        </is>
      </c>
      <c r="B23" s="14" t="n"/>
      <c r="C23" s="15" t="inlineStr">
        <is>
          <t>The executed lease commencement date [2025-08-01] is after the processing date [2026-09-21].</t>
        </is>
      </c>
      <c r="D23" s="14" t="n"/>
      <c r="E23" s="14" t="n"/>
      <c r="F23" s="14" t="n"/>
      <c r="G23" s="14" t="n"/>
      <c r="H23" s="14" t="n">
        <v>0.9647668393782383</v>
      </c>
    </row>
    <row r="24" ht="28.8" customHeight="1">
      <c r="A24" s="14" t="inlineStr">
        <is>
          <t>FULLY SIGNED COMPL_DEF_Huurovereenkomst_Bond_Bergschot_Breda.pdf</t>
        </is>
      </c>
      <c r="B24" s="14" t="n"/>
      <c r="C24" s="15" t="inlineStr">
        <is>
          <t>The processing date 2026-09-21 falls within the executed lease term from 2025-07-01 through 2028-12-31.</t>
        </is>
      </c>
      <c r="D24" s="14" t="n"/>
      <c r="E24" s="14" t="n"/>
      <c r="F24" s="14" t="n"/>
      <c r="G24" s="14" t="n"/>
      <c r="H24" s="14" t="n">
        <v>0.9695876288659794</v>
      </c>
    </row>
    <row r="25" ht="28.8" customHeight="1">
      <c r="A25" s="14" t="inlineStr">
        <is>
          <t>FullySigned_Allonge_II_Virtual_Vaults_Nederland.pdf</t>
        </is>
      </c>
      <c r="B25" s="14" t="n"/>
      <c r="C25" s="15" t="inlineStr">
        <is>
          <t>The processing date 2026-09-21 falls within the executed lease term from 2018-11-01 through 2032-10-31.</t>
        </is>
      </c>
      <c r="D25" s="14" t="n"/>
      <c r="E25" s="14" t="n"/>
      <c r="F25" s="14" t="n"/>
      <c r="G25" s="14" t="n"/>
      <c r="H25" s="14" t="n">
        <v>0.9598958333333334</v>
      </c>
    </row>
    <row r="26" ht="28.8" customHeight="1">
      <c r="A26" s="14" t="inlineStr">
        <is>
          <t>FullySigned_Lease_Agreement_Neste_EDGE_Coolsingel.pdf</t>
        </is>
      </c>
      <c r="B26" s="14" t="n"/>
      <c r="C26" s="15" t="inlineStr">
        <is>
          <t>The executed lease commencement date 2027-08-01 is after the processing date 2026-09-21.</t>
        </is>
      </c>
      <c r="D26" s="14" t="n"/>
      <c r="E26" s="14" t="n"/>
      <c r="F26" s="14" t="n"/>
      <c r="G26" s="14" t="n"/>
      <c r="H26" s="14" t="n">
        <v>0.95</v>
      </c>
    </row>
    <row r="27" ht="28.8" customHeight="1">
      <c r="A27" s="14" t="inlineStr">
        <is>
          <t>HOK Waalhaven Group (signed).pdf</t>
        </is>
      </c>
      <c r="B27" s="14" t="n"/>
      <c r="C27" s="15" t="inlineStr">
        <is>
          <t>The executed lease commencement date 2026-09-01 is after the processing date 2026-09-21.</t>
        </is>
      </c>
      <c r="D27" s="14" t="n"/>
      <c r="E27" s="14" t="n"/>
      <c r="F27" s="14" t="n"/>
      <c r="G27" s="14" t="n"/>
      <c r="H27" s="14" t="n">
        <v>0.95</v>
      </c>
    </row>
    <row r="28" ht="28.8" customHeight="1">
      <c r="A28" s="14" t="inlineStr">
        <is>
          <t>Hovk Avans  (3e+4e+5e verd.) 20140425.pdf</t>
        </is>
      </c>
      <c r="B28" s="14" t="n"/>
      <c r="C28" s="15" t="inlineStr">
        <is>
          <t>The processing date 2026-09-21 falls within the executed lease term from 2014-05-01 through 2024-06-30.</t>
        </is>
      </c>
      <c r="D28" s="14" t="n"/>
      <c r="E28" s="14" t="n"/>
      <c r="F28" s="14" t="n"/>
      <c r="G28" s="14" t="n"/>
      <c r="H28" s="14" t="n">
        <v>0.9500000000000001</v>
      </c>
    </row>
    <row r="29" ht="28.8" customHeight="1">
      <c r="A29" s="14" t="inlineStr">
        <is>
          <t>HOVK Power4People 2025.pdf</t>
        </is>
      </c>
      <c r="B29" s="14" t="n"/>
      <c r="C29" s="15" t="inlineStr">
        <is>
          <t>The executed lease commencement date [2025-07-01] is after the processing date [2026-09-21].</t>
        </is>
      </c>
      <c r="D29" s="14" t="n"/>
      <c r="E29" s="14" t="n"/>
      <c r="F29" s="14" t="n"/>
      <c r="G29" s="14" t="n"/>
      <c r="H29" s="14" t="n">
        <v>0.9549738219895287</v>
      </c>
    </row>
    <row r="30" ht="28.8" customHeight="1">
      <c r="A30" s="14" t="inlineStr">
        <is>
          <t>Huurovereenkomst (Semmie Group B.V.) - Wilhelminasingel 19, Breda.pdf</t>
        </is>
      </c>
      <c r="B30" s="14" t="n"/>
      <c r="C30" s="15" t="inlineStr">
        <is>
          <t>The processing date 2026-09-21 falls within the executed lease term from 2026-01-15 through 2029-04-30.</t>
        </is>
      </c>
      <c r="D30" s="14" t="n"/>
      <c r="E30" s="14" t="n"/>
      <c r="F30" s="14" t="n"/>
      <c r="G30" s="14" t="n"/>
      <c r="H30" s="14" t="n">
        <v>0.95</v>
      </c>
    </row>
    <row r="31" ht="28.8" customHeight="1">
      <c r="A31" s="14" t="inlineStr">
        <is>
          <t>Huurovereenkomst - proces-verbaal van oplevering - sleuteloverdracht - Kennedyplein 101 - getekend.pdf</t>
        </is>
      </c>
      <c r="B31" s="14" t="n"/>
      <c r="C31" s="15" t="inlineStr">
        <is>
          <t>The executed lease commencement date 2026-03-01 is after the processing date 2026-09-21.</t>
        </is>
      </c>
      <c r="D31" s="14" t="n"/>
      <c r="E31" s="14" t="n"/>
      <c r="F31" s="14" t="n"/>
      <c r="G31" s="14" t="n"/>
      <c r="H31" s="14" t="n">
        <v>0.9598958333333334</v>
      </c>
    </row>
    <row r="32" ht="28.8" customHeight="1">
      <c r="A32" s="14" t="inlineStr">
        <is>
          <t>Huurovereenkomst Bijster 5 te Breda getekend.pdf</t>
        </is>
      </c>
      <c r="B32" s="14" t="n"/>
      <c r="C32" s="15" t="inlineStr">
        <is>
          <t>The executed lease commencement date [2026-01-01] is after the processing date [2026-09-21].</t>
        </is>
      </c>
      <c r="D32" s="14" t="n"/>
      <c r="E32" s="14" t="n"/>
      <c r="F32" s="14" t="n"/>
      <c r="G32" s="14" t="n"/>
      <c r="H32" s="14" t="n">
        <v>0.9695876288659794</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ht="28.8" customHeight="1">
      <c r="A35" s="14" t="inlineStr">
        <is>
          <t>Huurovereenkomst PBG Parallelweg 64 (beg.grond) 20121008.pdf</t>
        </is>
      </c>
      <c r="B35" s="14" t="n"/>
      <c r="C35" s="15" t="inlineStr">
        <is>
          <t>The executed lease expiration date [2020-09-30] is before the processing date [2026-09-21], and no supported continuation exists.</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Tenant</t>
        </is>
      </c>
      <c r="C2" s="15" t="inlineStr">
        <is>
          <t>Tenant</t>
        </is>
      </c>
      <c r="D2" s="14" t="n"/>
      <c r="E2" s="14" t="n"/>
      <c r="F2" s="14" t="n"/>
      <c r="G2" s="14" t="n"/>
      <c r="H2" s="14" t="n">
        <v>0.93475935828877</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Tenant</t>
        </is>
      </c>
      <c r="C3" s="15" t="inlineStr">
        <is>
          <t>Tenant</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n"/>
      <c r="D4" s="14" t="n"/>
      <c r="E4" s="14" t="n"/>
      <c r="F4" s="14" t="n"/>
      <c r="G4" s="14" t="n"/>
      <c r="H4" s="14" t="n"/>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n"/>
      <c r="D5" s="14" t="n"/>
      <c r="E5" s="14" t="n"/>
      <c r="F5" s="14" t="n"/>
      <c r="G5" s="14" t="n"/>
      <c r="H5" s="14" t="n"/>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Tenant</t>
        </is>
      </c>
      <c r="C6" s="15" t="inlineStr">
        <is>
          <t>Tenant</t>
        </is>
      </c>
      <c r="D6" s="14" t="n"/>
      <c r="E6" s="14" t="n"/>
      <c r="F6" s="14" t="n"/>
      <c r="G6" s="14" t="n"/>
      <c r="H6" s="14" t="n">
        <v>0.9647668393782383</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Tenant</t>
        </is>
      </c>
      <c r="C7" s="15" t="inlineStr">
        <is>
          <t>Tenant</t>
        </is>
      </c>
      <c r="D7" s="14" t="n"/>
      <c r="E7" s="14" t="n"/>
      <c r="F7" s="14" t="n"/>
      <c r="G7" s="14" t="n"/>
      <c r="H7" s="14" t="n">
        <v>0.9695876288659794</v>
      </c>
      <c r="K7" s="17" t="inlineStr">
        <is>
          <t>Total Docs Tested</t>
        </is>
      </c>
      <c r="L7" s="19">
        <f>COUNTA(A2:A36)</f>
        <v/>
      </c>
      <c r="N7" s="17" t="inlineStr">
        <is>
          <t>Total Docs Tested</t>
        </is>
      </c>
      <c r="O7" s="19">
        <f>COUNTA(A2:A36)</f>
        <v/>
      </c>
    </row>
    <row r="8">
      <c r="A8" s="14" t="inlineStr">
        <is>
          <t>20260629 HOK ADHDcentraal BV (1).pdf</t>
        </is>
      </c>
      <c r="B8" s="14" t="n"/>
      <c r="C8" s="15" t="n"/>
      <c r="D8" s="14" t="n"/>
      <c r="E8" s="14" t="n"/>
      <c r="F8" s="14" t="n"/>
      <c r="G8" s="14" t="n"/>
      <c r="H8" s="14" t="n"/>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Tenant</t>
        </is>
      </c>
      <c r="C9" s="15" t="inlineStr">
        <is>
          <t>Tenant</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n"/>
      <c r="D10" s="14" t="n"/>
      <c r="E10" s="14" t="n"/>
      <c r="F10" s="14" t="n"/>
      <c r="G10" s="14" t="n"/>
      <c r="H10" s="14" t="n"/>
      <c r="K10" s="20" t="inlineStr">
        <is>
          <t>Highlighted rows = file(s) not in the annotation sheet; excluded from all metrics above.</t>
        </is>
      </c>
    </row>
    <row r="11">
      <c r="A11" s="14" t="inlineStr">
        <is>
          <t>20270801 - Getekende Allonge II Advario BV.pdf</t>
        </is>
      </c>
      <c r="B11" s="14" t="inlineStr">
        <is>
          <t>Tenant</t>
        </is>
      </c>
      <c r="C11" s="15" t="inlineStr">
        <is>
          <t>Tenant</t>
        </is>
      </c>
      <c r="D11" s="14" t="n"/>
      <c r="E11" s="14" t="n"/>
      <c r="F11" s="14" t="n"/>
      <c r="G11" s="14" t="n"/>
      <c r="H11" s="14" t="n">
        <v>0.95</v>
      </c>
      <c r="K11" s="17" t="inlineStr">
        <is>
          <t>Validation Rules Example</t>
        </is>
      </c>
    </row>
    <row r="12">
      <c r="A12" s="14" t="inlineStr">
        <is>
          <t>240119 HOVK Spoorlaan 446-448 Tilburg signed.pdf</t>
        </is>
      </c>
      <c r="B12" s="14" t="inlineStr">
        <is>
          <t>Tenant</t>
        </is>
      </c>
      <c r="C12" s="15" t="inlineStr">
        <is>
          <t>Tenant</t>
        </is>
      </c>
      <c r="D12" s="14" t="n"/>
      <c r="E12" s="14" t="n"/>
      <c r="F12" s="14" t="n"/>
      <c r="G12" s="14" t="n"/>
      <c r="H12" s="14" t="n">
        <v>0.9647668393782383</v>
      </c>
      <c r="K12" s="16" t="inlineStr">
        <is>
          <t>Manual Data</t>
        </is>
      </c>
      <c r="L12" s="16" t="inlineStr">
        <is>
          <t>Response Data</t>
        </is>
      </c>
      <c r="M12" s="16" t="inlineStr">
        <is>
          <t>Result</t>
        </is>
      </c>
    </row>
    <row r="13">
      <c r="A13" s="14" t="inlineStr">
        <is>
          <t>27001 Rijksvastgoedbedrijf Huurovereenkomst - __27-01-2026_9-07-56.pdf</t>
        </is>
      </c>
      <c r="B13" s="14" t="inlineStr">
        <is>
          <t>Tenant</t>
        </is>
      </c>
      <c r="C13" s="15" t="inlineStr">
        <is>
          <t>Tenant</t>
        </is>
      </c>
      <c r="D13" s="14" t="n"/>
      <c r="E13" s="14" t="n"/>
      <c r="F13" s="14" t="n"/>
      <c r="G13" s="14" t="n"/>
      <c r="H13" s="14" t="n">
        <v>0.9500000000000001</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n"/>
      <c r="D16" s="14" t="n"/>
      <c r="E16" s="14" t="n"/>
      <c r="F16" s="14" t="n"/>
      <c r="G16" s="14" t="n"/>
      <c r="H16" s="14" t="n"/>
      <c r="K16" t="n">
        <v>100</v>
      </c>
      <c r="M16" t="inlineStr">
        <is>
          <t>FN</t>
        </is>
      </c>
    </row>
    <row r="17">
      <c r="A17" s="14" t="inlineStr">
        <is>
          <t>COMPL Huurovereenkomst - Stichting CCE - Kantoorgebouw Metzpoint I Dr. Holtroplaan - Fully Signed.pdf</t>
        </is>
      </c>
      <c r="B17" s="14" t="n"/>
      <c r="C17" s="15" t="n"/>
      <c r="D17" s="14" t="n"/>
      <c r="E17" s="14" t="n"/>
      <c r="F17" s="14" t="n"/>
      <c r="G17" s="14" t="n"/>
      <c r="H17" s="14" t="n"/>
      <c r="M17" t="inlineStr">
        <is>
          <t>TN</t>
        </is>
      </c>
    </row>
    <row r="18">
      <c r="A18" s="14" t="inlineStr">
        <is>
          <t>COMPL Regel Partners - HOVK - Luchthavenweg 81 - 20260728.pdf</t>
        </is>
      </c>
      <c r="B18" s="14" t="n"/>
      <c r="C18" s="15" t="n"/>
      <c r="D18" s="14" t="n"/>
      <c r="E18" s="14" t="n"/>
      <c r="F18" s="14" t="n"/>
      <c r="G18" s="14" t="n"/>
      <c r="H18" s="14" t="n"/>
    </row>
    <row r="19">
      <c r="A19" s="14" t="inlineStr">
        <is>
          <t>COMPL_-_Onderhuurovereenkomst_Zelfstroom_B.V._-_50five_B.V._-_kantoorgebouw_Riva_-_05032026.pdf</t>
        </is>
      </c>
      <c r="B19" s="14" t="n"/>
      <c r="C19" s="15" t="n"/>
      <c r="D19" s="14" t="n"/>
      <c r="E19" s="14" t="n"/>
      <c r="F19" s="14" t="n"/>
      <c r="G19" s="14" t="n"/>
      <c r="H19" s="14" t="n"/>
      <c r="K19" s="17" t="inlineStr">
        <is>
          <t>Field:</t>
        </is>
      </c>
      <c r="L19" t="inlineStr">
        <is>
          <t>lease_break / arrangement_option_executor_type_desc</t>
        </is>
      </c>
    </row>
    <row r="20">
      <c r="A20" s="14" t="inlineStr">
        <is>
          <t>Den Bosch, Ruwekampweg 4, HOVK getekend.pdf</t>
        </is>
      </c>
      <c r="B20" s="14" t="inlineStr">
        <is>
          <t>Tenant</t>
        </is>
      </c>
      <c r="C20" s="15" t="inlineStr">
        <is>
          <t>Tenant</t>
        </is>
      </c>
      <c r="D20" s="14" t="n"/>
      <c r="E20" s="14" t="n"/>
      <c r="F20" s="14" t="n"/>
      <c r="G20" s="14" t="n"/>
      <c r="H20" s="14" t="n">
        <v>0.95</v>
      </c>
    </row>
    <row r="21">
      <c r="A21" s="14" t="inlineStr">
        <is>
          <t>FULLY SIGNED - COMPL Huurovereenkomst - Heijmans - Hugo de Grootlaan 23 's-Hertogenbosch V2 30-9-2025.pdf</t>
        </is>
      </c>
      <c r="B21" s="14" t="n"/>
      <c r="C21" s="15" t="n"/>
      <c r="D21" s="14" t="n"/>
      <c r="E21" s="14" t="n"/>
      <c r="F21" s="14" t="n"/>
      <c r="G21" s="14" t="n"/>
      <c r="H21" s="14" t="n"/>
    </row>
    <row r="22">
      <c r="A22" s="14" t="inlineStr">
        <is>
          <t>FULLY SIGNED - DEF_COMPL_Huurovereenkomst_Robo_Charge_-_Campus_Offices_-_20260220.pdf</t>
        </is>
      </c>
      <c r="B22" s="14" t="inlineStr">
        <is>
          <t>Tenant</t>
        </is>
      </c>
      <c r="C22" s="15" t="inlineStr">
        <is>
          <t>Tenant</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n"/>
      <c r="D24" s="14" t="n"/>
      <c r="E24" s="14" t="n"/>
      <c r="F24" s="14" t="n"/>
      <c r="G24" s="14" t="n"/>
      <c r="H24" s="14" t="n"/>
    </row>
    <row r="25">
      <c r="A25" s="14" t="inlineStr">
        <is>
          <t>FullySigned_Allonge_II_Virtual_Vaults_Nederland.pdf</t>
        </is>
      </c>
      <c r="B25" s="14" t="inlineStr">
        <is>
          <t>Tenant</t>
        </is>
      </c>
      <c r="C25" s="15" t="inlineStr">
        <is>
          <t>Tenant</t>
        </is>
      </c>
      <c r="D25" s="14" t="n"/>
      <c r="E25" s="14" t="n"/>
      <c r="F25" s="14" t="n"/>
      <c r="G25" s="14" t="n"/>
      <c r="H25" s="14" t="n">
        <v>0.9598958333333334</v>
      </c>
    </row>
    <row r="26">
      <c r="A26" s="14" t="inlineStr">
        <is>
          <t>FullySigned_Lease_Agreement_Neste_EDGE_Coolsingel.pdf</t>
        </is>
      </c>
      <c r="B26" s="14" t="inlineStr">
        <is>
          <t>Tenant</t>
        </is>
      </c>
      <c r="C26" s="15" t="inlineStr">
        <is>
          <t>Tenant</t>
        </is>
      </c>
      <c r="D26" s="14" t="n"/>
      <c r="E26" s="14" t="n"/>
      <c r="F26" s="14" t="n"/>
      <c r="G26" s="14" t="n"/>
      <c r="H26" s="14" t="n">
        <v>0.9695876288659794</v>
      </c>
    </row>
    <row r="27">
      <c r="A27" s="14" t="inlineStr">
        <is>
          <t>HOK Waalhaven Group (signed).pdf</t>
        </is>
      </c>
      <c r="B27" s="14" t="n"/>
      <c r="C27" s="15" t="n"/>
      <c r="D27" s="14" t="n"/>
      <c r="E27" s="14" t="n"/>
      <c r="F27" s="14" t="n"/>
      <c r="G27" s="14" t="n"/>
      <c r="H27" s="14" t="n"/>
    </row>
    <row r="28">
      <c r="A28" s="14" t="inlineStr">
        <is>
          <t>Hovk Avans  (3e+4e+5e verd.) 20140425.pdf</t>
        </is>
      </c>
      <c r="B28" s="14" t="inlineStr">
        <is>
          <t>Tenant</t>
        </is>
      </c>
      <c r="C28" s="15" t="inlineStr">
        <is>
          <t>Tenant</t>
        </is>
      </c>
      <c r="D28" s="14" t="n"/>
      <c r="E28" s="14" t="n"/>
      <c r="F28" s="14" t="n"/>
      <c r="G28" s="14" t="n"/>
      <c r="H28" s="14" t="n">
        <v>0.95</v>
      </c>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n"/>
      <c r="D32" s="14" t="n"/>
      <c r="E32" s="14" t="n"/>
      <c r="F32" s="14" t="n"/>
      <c r="G32" s="14" t="n"/>
      <c r="H32" s="14" t="n"/>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inlineStr">
        <is>
          <t>Tenant</t>
        </is>
      </c>
      <c r="C34" s="15" t="inlineStr">
        <is>
          <t>Tenant</t>
        </is>
      </c>
      <c r="D34" s="14" t="n"/>
      <c r="E34" s="14" t="n"/>
      <c r="F34" s="14" t="n"/>
      <c r="G34" s="14" t="n"/>
      <c r="H34" s="14" t="n">
        <v>0.8859550561797753</v>
      </c>
    </row>
    <row r="35">
      <c r="A35" s="14" t="inlineStr">
        <is>
          <t>Huurovereenkomst PBG Parallelweg 64 (beg.grond) 20121008.pdf</t>
        </is>
      </c>
      <c r="B35" s="14" t="inlineStr">
        <is>
          <t>Tenant</t>
        </is>
      </c>
      <c r="C35" s="15" t="inlineStr">
        <is>
          <t>Tenant</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01/01/2019</t>
        </is>
      </c>
      <c r="C2" s="15" t="inlineStr">
        <is>
          <t>01/01/2019</t>
        </is>
      </c>
      <c r="D2" s="14" t="n"/>
      <c r="E2" s="14" t="n"/>
      <c r="F2" s="14" t="n"/>
      <c r="G2" s="14" t="n"/>
      <c r="H2" s="14" t="n">
        <v>0.93475935828877</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01/01/2030</t>
        </is>
      </c>
      <c r="C3" s="15" t="inlineStr">
        <is>
          <t>01/01/2030</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n"/>
      <c r="D4" s="14" t="n"/>
      <c r="E4" s="14" t="n"/>
      <c r="F4" s="14" t="n"/>
      <c r="G4" s="14" t="n"/>
      <c r="H4" s="14" t="n"/>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n"/>
      <c r="D5" s="14" t="n"/>
      <c r="E5" s="14" t="n"/>
      <c r="F5" s="14" t="n"/>
      <c r="G5" s="14" t="n"/>
      <c r="H5" s="14" t="n"/>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01/05/2030</t>
        </is>
      </c>
      <c r="C6" s="15" t="inlineStr">
        <is>
          <t>01/05/2030</t>
        </is>
      </c>
      <c r="D6" s="14" t="n"/>
      <c r="E6" s="14" t="n"/>
      <c r="F6" s="14" t="n"/>
      <c r="G6" s="14" t="n"/>
      <c r="H6" s="14" t="n">
        <v>0.9647668393782383</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01/03/2028</t>
        </is>
      </c>
      <c r="C7" s="15" t="inlineStr">
        <is>
          <t>01/03/2028</t>
        </is>
      </c>
      <c r="D7" s="14" t="n"/>
      <c r="E7" s="14" t="n"/>
      <c r="F7" s="14" t="n"/>
      <c r="G7" s="14" t="n"/>
      <c r="H7" s="14" t="n">
        <v>0.9695876288659794</v>
      </c>
      <c r="K7" s="17" t="inlineStr">
        <is>
          <t>Total Docs Tested</t>
        </is>
      </c>
      <c r="L7" s="19">
        <f>COUNTA(A2:A36)</f>
        <v/>
      </c>
      <c r="N7" s="17" t="inlineStr">
        <is>
          <t>Total Docs Tested</t>
        </is>
      </c>
      <c r="O7" s="19">
        <f>COUNTA(A2:A36)</f>
        <v/>
      </c>
    </row>
    <row r="8">
      <c r="A8" s="14" t="inlineStr">
        <is>
          <t>20260629 HOK ADHDcentraal BV (1).pdf</t>
        </is>
      </c>
      <c r="B8" s="14" t="n"/>
      <c r="C8" s="15" t="n"/>
      <c r="D8" s="14" t="n"/>
      <c r="E8" s="14" t="n"/>
      <c r="F8" s="14" t="n"/>
      <c r="G8" s="14" t="n"/>
      <c r="H8" s="14" t="n"/>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01/01/2034</t>
        </is>
      </c>
      <c r="C9" s="15" t="inlineStr">
        <is>
          <t>01/01/2034</t>
        </is>
      </c>
      <c r="D9" s="14" t="n"/>
      <c r="E9" s="14" t="n"/>
      <c r="F9" s="14" t="n"/>
      <c r="G9" s="14" t="n"/>
      <c r="H9" s="14" t="n">
        <v>0.95</v>
      </c>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n"/>
      <c r="D10" s="14" t="n"/>
      <c r="E10" s="14" t="n"/>
      <c r="F10" s="14" t="n"/>
      <c r="G10" s="14" t="n"/>
      <c r="H10" s="14" t="n"/>
      <c r="K10" s="20" t="inlineStr">
        <is>
          <t>Highlighted rows = file(s) not in the annotation sheet; excluded from all metrics above.</t>
        </is>
      </c>
    </row>
    <row r="11">
      <c r="A11" s="14" t="inlineStr">
        <is>
          <t>20270801 - Getekende Allonge II Advario BV.pdf</t>
        </is>
      </c>
      <c r="B11" s="14" t="inlineStr">
        <is>
          <t>31/07/2030</t>
        </is>
      </c>
      <c r="C11" s="15" t="inlineStr">
        <is>
          <t>31/07/2030</t>
        </is>
      </c>
      <c r="D11" s="14" t="n"/>
      <c r="E11" s="14" t="n"/>
      <c r="F11" s="14" t="n"/>
      <c r="G11" s="14" t="n"/>
      <c r="H11" s="14" t="n">
        <v>0.95</v>
      </c>
      <c r="K11" s="17" t="inlineStr">
        <is>
          <t>Validation Rules Example</t>
        </is>
      </c>
    </row>
    <row r="12">
      <c r="A12" s="14" t="inlineStr">
        <is>
          <t>240119 HOVK Spoorlaan 446-448 Tilburg signed.pdf</t>
        </is>
      </c>
      <c r="B12" s="14" t="inlineStr">
        <is>
          <t>01/04/2026</t>
        </is>
      </c>
      <c r="C12" s="15" t="inlineStr">
        <is>
          <t>01/04/2026</t>
        </is>
      </c>
      <c r="D12" s="14" t="n"/>
      <c r="E12" s="14" t="n"/>
      <c r="F12" s="14" t="n"/>
      <c r="G12" s="14" t="n"/>
      <c r="H12" s="14" t="n">
        <v>0.9647668393782383</v>
      </c>
      <c r="K12" s="16" t="inlineStr">
        <is>
          <t>Manual Data</t>
        </is>
      </c>
      <c r="L12" s="16" t="inlineStr">
        <is>
          <t>Response Data</t>
        </is>
      </c>
      <c r="M12" s="16" t="inlineStr">
        <is>
          <t>Result</t>
        </is>
      </c>
    </row>
    <row r="13">
      <c r="A13" s="14" t="inlineStr">
        <is>
          <t>27001 Rijksvastgoedbedrijf Huurovereenkomst - __27-01-2026_9-07-56.pdf</t>
        </is>
      </c>
      <c r="B13" s="14" t="inlineStr">
        <is>
          <t>31/12/2026</t>
        </is>
      </c>
      <c r="C13" s="15" t="inlineStr">
        <is>
          <t>31/12/2026</t>
        </is>
      </c>
      <c r="D13" s="14" t="n"/>
      <c r="E13" s="14" t="n"/>
      <c r="F13" s="14" t="n"/>
      <c r="G13" s="14" t="n"/>
      <c r="H13" s="14" t="n">
        <v>0.9500000000000001</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n"/>
      <c r="D16" s="14" t="n"/>
      <c r="E16" s="14" t="n"/>
      <c r="F16" s="14" t="n"/>
      <c r="G16" s="14" t="n"/>
      <c r="H16" s="14" t="n"/>
      <c r="K16" t="n">
        <v>100</v>
      </c>
      <c r="M16" t="inlineStr">
        <is>
          <t>FN</t>
        </is>
      </c>
    </row>
    <row r="17">
      <c r="A17" s="14" t="inlineStr">
        <is>
          <t>COMPL Huurovereenkomst - Stichting CCE - Kantoorgebouw Metzpoint I Dr. Holtroplaan - Fully Signed.pdf</t>
        </is>
      </c>
      <c r="B17" s="14" t="n"/>
      <c r="C17" s="15" t="n"/>
      <c r="D17" s="14" t="n"/>
      <c r="E17" s="14" t="n"/>
      <c r="F17" s="14" t="n"/>
      <c r="G17" s="14" t="n"/>
      <c r="H17" s="14" t="n"/>
      <c r="M17" t="inlineStr">
        <is>
          <t>TN</t>
        </is>
      </c>
    </row>
    <row r="18">
      <c r="A18" s="14" t="inlineStr">
        <is>
          <t>COMPL Regel Partners - HOVK - Luchthavenweg 81 - 20260728.pdf</t>
        </is>
      </c>
      <c r="B18" s="14" t="n"/>
      <c r="C18" s="15" t="n"/>
      <c r="D18" s="14" t="n"/>
      <c r="E18" s="14" t="n"/>
      <c r="F18" s="14" t="n"/>
      <c r="G18" s="14" t="n"/>
      <c r="H18" s="14" t="n"/>
    </row>
    <row r="19">
      <c r="A19" s="14" t="inlineStr">
        <is>
          <t>COMPL_-_Onderhuurovereenkomst_Zelfstroom_B.V._-_50five_B.V._-_kantoorgebouw_Riva_-_05032026.pdf</t>
        </is>
      </c>
      <c r="B19" s="14" t="n"/>
      <c r="C19" s="15" t="n"/>
      <c r="D19" s="14" t="n"/>
      <c r="E19" s="14" t="n"/>
      <c r="F19" s="14" t="n"/>
      <c r="G19" s="14" t="n"/>
      <c r="H19" s="14" t="n"/>
      <c r="K19" s="17" t="inlineStr">
        <is>
          <t>Field:</t>
        </is>
      </c>
      <c r="L19" t="inlineStr">
        <is>
          <t>lease_break / arrangement_option_start_date</t>
        </is>
      </c>
    </row>
    <row r="20">
      <c r="A20" s="14" t="inlineStr">
        <is>
          <t>Den Bosch, Ruwekampweg 4, HOVK getekend.pdf</t>
        </is>
      </c>
      <c r="B20" s="14" t="inlineStr">
        <is>
          <t>31/12/2021</t>
        </is>
      </c>
      <c r="C20" s="15" t="inlineStr">
        <is>
          <t>31/12/2021</t>
        </is>
      </c>
      <c r="D20" s="14" t="n"/>
      <c r="E20" s="14" t="n"/>
      <c r="F20" s="14" t="n"/>
      <c r="G20" s="14" t="n"/>
      <c r="H20" s="14" t="n">
        <v>0.95</v>
      </c>
    </row>
    <row r="21">
      <c r="A21" s="14" t="inlineStr">
        <is>
          <t>FULLY SIGNED - COMPL Huurovereenkomst - Heijmans - Hugo de Grootlaan 23 's-Hertogenbosch V2 30-9-2025.pdf</t>
        </is>
      </c>
      <c r="B21" s="14" t="n"/>
      <c r="C21" s="15" t="n"/>
      <c r="D21" s="14" t="n"/>
      <c r="E21" s="14" t="n"/>
      <c r="F21" s="14" t="n"/>
      <c r="G21" s="14" t="n"/>
      <c r="H21" s="14" t="n"/>
    </row>
    <row r="22">
      <c r="A22" s="14" t="inlineStr">
        <is>
          <t>FULLY SIGNED - DEF_COMPL_Huurovereenkomst_Robo_Charge_-_Campus_Offices_-_20260220.pdf</t>
        </is>
      </c>
      <c r="B22" s="14" t="inlineStr">
        <is>
          <t>31/03/2029</t>
        </is>
      </c>
      <c r="C22" s="15" t="inlineStr">
        <is>
          <t>31/03/2029</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n"/>
      <c r="D24" s="14" t="n"/>
      <c r="E24" s="14" t="n"/>
      <c r="F24" s="14" t="n"/>
      <c r="G24" s="14" t="n"/>
      <c r="H24" s="14" t="n"/>
    </row>
    <row r="25">
      <c r="A25" s="14" t="inlineStr">
        <is>
          <t>FullySigned_Allonge_II_Virtual_Vaults_Nederland.pdf</t>
        </is>
      </c>
      <c r="B25" s="14" t="inlineStr">
        <is>
          <t>31/10/2027</t>
        </is>
      </c>
      <c r="C25" s="15" t="inlineStr">
        <is>
          <t>31/10/2027</t>
        </is>
      </c>
      <c r="D25" s="14" t="n"/>
      <c r="E25" s="14" t="n"/>
      <c r="F25" s="14" t="n"/>
      <c r="G25" s="14" t="n"/>
      <c r="H25" s="14" t="n">
        <v>0.9598958333333334</v>
      </c>
    </row>
    <row r="26">
      <c r="A26" s="14" t="inlineStr">
        <is>
          <t>FullySigned_Lease_Agreement_Neste_EDGE_Coolsingel.pdf</t>
        </is>
      </c>
      <c r="B26" s="14" t="inlineStr">
        <is>
          <t>31/07/2032</t>
        </is>
      </c>
      <c r="C26" s="15" t="inlineStr">
        <is>
          <t>31/07/2032</t>
        </is>
      </c>
      <c r="D26" s="14" t="n"/>
      <c r="E26" s="14" t="n"/>
      <c r="F26" s="14" t="n"/>
      <c r="G26" s="14" t="n"/>
      <c r="H26" s="14" t="n">
        <v>0.9695876288659794</v>
      </c>
    </row>
    <row r="27">
      <c r="A27" s="14" t="inlineStr">
        <is>
          <t>HOK Waalhaven Group (signed).pdf</t>
        </is>
      </c>
      <c r="B27" s="14" t="n"/>
      <c r="C27" s="15" t="n"/>
      <c r="D27" s="14" t="n"/>
      <c r="E27" s="14" t="n"/>
      <c r="F27" s="14" t="n"/>
      <c r="G27" s="14" t="n"/>
      <c r="H27" s="14" t="n"/>
    </row>
    <row r="28">
      <c r="A28" s="14" t="inlineStr">
        <is>
          <t>Hovk Avans  (3e+4e+5e verd.) 20140425.pdf</t>
        </is>
      </c>
      <c r="B28" s="14" t="inlineStr">
        <is>
          <t>01/10/2014</t>
        </is>
      </c>
      <c r="C28" s="15" t="inlineStr">
        <is>
          <t>01/10/2014</t>
        </is>
      </c>
      <c r="D28" s="14" t="n"/>
      <c r="E28" s="14" t="n"/>
      <c r="F28" s="14" t="n"/>
      <c r="G28" s="14" t="n"/>
      <c r="H28" s="14" t="n">
        <v>0.95</v>
      </c>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n"/>
      <c r="D32" s="14" t="n"/>
      <c r="E32" s="14" t="n"/>
      <c r="F32" s="14" t="n"/>
      <c r="G32" s="14" t="n"/>
      <c r="H32" s="14" t="n"/>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inlineStr">
        <is>
          <t>01/05/2021</t>
        </is>
      </c>
      <c r="C34" s="15" t="inlineStr">
        <is>
          <t>01/05/2021</t>
        </is>
      </c>
      <c r="D34" s="14" t="n"/>
      <c r="E34" s="14" t="n"/>
      <c r="F34" s="14" t="n"/>
      <c r="G34" s="14" t="n"/>
      <c r="H34" s="14" t="n">
        <v>0.8859550561797753</v>
      </c>
    </row>
    <row r="35">
      <c r="A35" s="14" t="inlineStr">
        <is>
          <t>Huurovereenkomst PBG Parallelweg 64 (beg.grond) 20121008.pdf</t>
        </is>
      </c>
      <c r="B35" s="14" t="inlineStr">
        <is>
          <t>30/09/2017</t>
        </is>
      </c>
      <c r="C35" s="15" t="inlineStr">
        <is>
          <t>30/09/2017</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7000</t>
        </is>
      </c>
      <c r="C2" s="15" t="inlineStr">
        <is>
          <t>7000</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106020.00</t>
        </is>
      </c>
      <c r="C3" s="15" t="inlineStr">
        <is>
          <t>106020.00</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574515</t>
        </is>
      </c>
      <c r="C4" s="15" t="inlineStr">
        <is>
          <t>574515</t>
        </is>
      </c>
      <c r="D4" s="14" t="n"/>
      <c r="E4" s="14" t="n"/>
      <c r="F4" s="14" t="n"/>
      <c r="G4" s="14" t="n"/>
      <c r="H4" s="14" t="n">
        <v>0.95</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7827.00</t>
        </is>
      </c>
      <c r="C5" s="15" t="inlineStr">
        <is>
          <t>7827.00</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2940000</t>
        </is>
      </c>
      <c r="C6" s="15" t="inlineStr">
        <is>
          <t>2940000</t>
        </is>
      </c>
      <c r="D6" s="14" t="n"/>
      <c r="E6" s="14" t="n"/>
      <c r="F6" s="14" t="n"/>
      <c r="G6" s="14" t="n"/>
      <c r="H6" s="14" t="n">
        <v>0.6465616596235114</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25715</t>
        </is>
      </c>
      <c r="C7" s="15" t="inlineStr">
        <is>
          <t>25715</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inlineStr">
        <is>
          <t>40568.85</t>
        </is>
      </c>
      <c r="C8" s="15" t="inlineStr">
        <is>
          <t>40568.85</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226710.00</t>
        </is>
      </c>
      <c r="C9" s="15" t="inlineStr">
        <is>
          <t>226710.00</t>
        </is>
      </c>
      <c r="D9" s="14" t="n"/>
      <c r="E9" s="14" t="n"/>
      <c r="F9" s="14" t="n"/>
      <c r="G9" s="14" t="n"/>
      <c r="H9" s="14" t="n">
        <v>0.9695876288659794</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22388.00</t>
        </is>
      </c>
      <c r="C10" s="15" t="inlineStr">
        <is>
          <t>22388.00</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inlineStr">
        <is>
          <t>89435.00</t>
        </is>
      </c>
      <c r="C11" s="15" t="inlineStr">
        <is>
          <t>89435.00</t>
        </is>
      </c>
      <c r="D11" s="14" t="n"/>
      <c r="E11" s="14" t="n"/>
      <c r="F11" s="14" t="n"/>
      <c r="G11" s="14" t="n"/>
      <c r="H11" s="14" t="n">
        <v>0.95</v>
      </c>
      <c r="K11" s="17" t="inlineStr">
        <is>
          <t>Validation Rules Example</t>
        </is>
      </c>
    </row>
    <row r="12">
      <c r="A12" s="14" t="inlineStr">
        <is>
          <t>240119 HOVK Spoorlaan 446-448 Tilburg signed.pdf</t>
        </is>
      </c>
      <c r="B12" s="14" t="inlineStr">
        <is>
          <t>405000</t>
        </is>
      </c>
      <c r="C12" s="15" t="inlineStr">
        <is>
          <t>405000</t>
        </is>
      </c>
      <c r="D12" s="14" t="n"/>
      <c r="E12" s="14" t="n"/>
      <c r="F12" s="14" t="n"/>
      <c r="G12" s="14" t="n"/>
      <c r="H12" s="14" t="n">
        <v>0.9695876288659794</v>
      </c>
      <c r="K12" s="16" t="inlineStr">
        <is>
          <t>Manual Data</t>
        </is>
      </c>
      <c r="L12" s="16" t="inlineStr">
        <is>
          <t>Response Data</t>
        </is>
      </c>
      <c r="M12" s="16" t="inlineStr">
        <is>
          <t>Result</t>
        </is>
      </c>
    </row>
    <row r="13">
      <c r="A13" s="14" t="inlineStr">
        <is>
          <t>27001 Rijksvastgoedbedrijf Huurovereenkomst - __27-01-2026_9-07-56.pdf</t>
        </is>
      </c>
      <c r="B13" s="14" t="inlineStr">
        <is>
          <t>595354.72</t>
        </is>
      </c>
      <c r="C13" s="15" t="inlineStr">
        <is>
          <t>595354.72</t>
        </is>
      </c>
      <c r="D13" s="14" t="n"/>
      <c r="E13" s="14" t="n"/>
      <c r="F13" s="14" t="n"/>
      <c r="G13" s="14" t="n"/>
      <c r="H13" s="14" t="n">
        <v>0.95</v>
      </c>
      <c r="K13" t="n">
        <v>100</v>
      </c>
      <c r="L13" t="n">
        <v>100</v>
      </c>
      <c r="M13" t="inlineStr">
        <is>
          <t>TP</t>
        </is>
      </c>
    </row>
    <row r="14">
      <c r="A14" s="14" t="inlineStr">
        <is>
          <t>CBRE_AT_Services_ENG_-_RITUALS_CBRE signed.pdf</t>
        </is>
      </c>
      <c r="B14" s="14" t="inlineStr">
        <is>
          <t>500000</t>
        </is>
      </c>
      <c r="C14" s="15" t="inlineStr">
        <is>
          <t>500000</t>
        </is>
      </c>
      <c r="D14" s="14" t="n"/>
      <c r="E14" s="14" t="n"/>
      <c r="F14" s="14" t="n"/>
      <c r="G14" s="14" t="n"/>
      <c r="H14" s="14" t="n">
        <v>0.903565939133108</v>
      </c>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64330</t>
        </is>
      </c>
      <c r="C16" s="15" t="inlineStr">
        <is>
          <t>64330</t>
        </is>
      </c>
      <c r="D16" s="14" t="n"/>
      <c r="E16" s="14" t="n"/>
      <c r="F16" s="14" t="n"/>
      <c r="G16" s="14" t="n"/>
      <c r="H16" s="14" t="n">
        <v>0.95</v>
      </c>
      <c r="K16" t="n">
        <v>100</v>
      </c>
      <c r="M16" t="inlineStr">
        <is>
          <t>FN</t>
        </is>
      </c>
    </row>
    <row r="17">
      <c r="A17" s="14" t="inlineStr">
        <is>
          <t>COMPL Huurovereenkomst - Stichting CCE - Kantoorgebouw Metzpoint I Dr. Holtroplaan - Fully Signed.pdf</t>
        </is>
      </c>
      <c r="B17" s="14" t="inlineStr">
        <is>
          <t>37555.00</t>
        </is>
      </c>
      <c r="C17" s="15" t="inlineStr">
        <is>
          <t>37555.00</t>
        </is>
      </c>
      <c r="D17" s="14" t="n"/>
      <c r="E17" s="14" t="n"/>
      <c r="F17" s="14" t="n"/>
      <c r="G17" s="14" t="n"/>
      <c r="H17" s="14" t="n">
        <v>0.9695876288659794</v>
      </c>
      <c r="M17" t="inlineStr">
        <is>
          <t>TN</t>
        </is>
      </c>
    </row>
    <row r="18">
      <c r="A18" s="14" t="inlineStr">
        <is>
          <t>COMPL Regel Partners - HOVK - Luchthavenweg 81 - 20260728.pdf</t>
        </is>
      </c>
      <c r="B18" s="14" t="inlineStr">
        <is>
          <t>51505.5</t>
        </is>
      </c>
      <c r="C18" s="15" t="inlineStr">
        <is>
          <t>51505.5</t>
        </is>
      </c>
      <c r="D18" s="14" t="n"/>
      <c r="E18" s="14" t="n"/>
      <c r="F18" s="14" t="n"/>
      <c r="G18" s="14" t="n"/>
      <c r="H18" s="14" t="n">
        <v>0.955435708203236</v>
      </c>
    </row>
    <row r="19">
      <c r="A19" s="14" t="inlineStr">
        <is>
          <t>COMPL_-_Onderhuurovereenkomst_Zelfstroom_B.V._-_50five_B.V._-_kantoorgebouw_Riva_-_05032026.pdf</t>
        </is>
      </c>
      <c r="B19" s="14" t="inlineStr">
        <is>
          <t>211447.56</t>
        </is>
      </c>
      <c r="C19" s="15" t="inlineStr">
        <is>
          <t>211447.56</t>
        </is>
      </c>
      <c r="D19" s="14" t="n"/>
      <c r="E19" s="14" t="n"/>
      <c r="F19" s="14" t="n"/>
      <c r="G19" s="14" t="n"/>
      <c r="H19" s="14" t="n">
        <v>0.9458272327964862</v>
      </c>
      <c r="K19" s="17" t="inlineStr">
        <is>
          <t>Field:</t>
        </is>
      </c>
      <c r="L19" t="inlineStr">
        <is>
          <t>measurements / asking_rent_yearly</t>
        </is>
      </c>
    </row>
    <row r="20">
      <c r="A20" s="14" t="inlineStr">
        <is>
          <t>Den Bosch, Ruwekampweg 4, HOVK getekend.pdf</t>
        </is>
      </c>
      <c r="B20" s="14" t="inlineStr">
        <is>
          <t>95000.00</t>
        </is>
      </c>
      <c r="C20" s="15" t="inlineStr">
        <is>
          <t>95000.00</t>
        </is>
      </c>
      <c r="D20" s="14" t="n"/>
      <c r="E20" s="14" t="n"/>
      <c r="F20" s="14" t="n"/>
      <c r="G20" s="14" t="n"/>
      <c r="H20" s="14" t="n">
        <v>0.9695876288659794</v>
      </c>
    </row>
    <row r="21">
      <c r="A21" s="14" t="inlineStr">
        <is>
          <t>FULLY SIGNED - COMPL Huurovereenkomst - Heijmans - Hugo de Grootlaan 23 's-Hertogenbosch V2 30-9-2025.pdf</t>
        </is>
      </c>
      <c r="B21" s="14" t="inlineStr">
        <is>
          <t>64427.84</t>
        </is>
      </c>
      <c r="C21" s="15" t="inlineStr">
        <is>
          <t>64427.84</t>
        </is>
      </c>
      <c r="D21" s="14" t="n"/>
      <c r="E21" s="14" t="n"/>
      <c r="F21" s="14" t="n"/>
      <c r="G21" s="14" t="n"/>
      <c r="H21" s="14" t="n">
        <v>0.95</v>
      </c>
    </row>
    <row r="22">
      <c r="A22" s="14" t="inlineStr">
        <is>
          <t>FULLY SIGNED - DEF_COMPL_Huurovereenkomst_Robo_Charge_-_Campus_Offices_-_20260220.pdf</t>
        </is>
      </c>
      <c r="B22" s="14" t="inlineStr">
        <is>
          <t>55544.00</t>
        </is>
      </c>
      <c r="C22" s="15" t="inlineStr">
        <is>
          <t>55544.00</t>
        </is>
      </c>
      <c r="D22" s="14" t="n"/>
      <c r="E22" s="14" t="n"/>
      <c r="F22" s="14" t="n"/>
      <c r="G22" s="14" t="n"/>
      <c r="H22" s="14" t="n">
        <v>0.9695876288659794</v>
      </c>
    </row>
    <row r="23">
      <c r="A23" s="14" t="inlineStr">
        <is>
          <t>FULLY SIGNED - Onderhuurovereenkomst Aartshertogenlaan 223, `s-Hertogenbosch - Koning Willem I College B.V. 2606202.pdf</t>
        </is>
      </c>
      <c r="B23" s="14" t="inlineStr">
        <is>
          <t>114176.88</t>
        </is>
      </c>
      <c r="C23" s="15" t="inlineStr">
        <is>
          <t>114176.88</t>
        </is>
      </c>
      <c r="D23" s="14" t="n"/>
      <c r="E23" s="14" t="n"/>
      <c r="F23" s="14" t="n"/>
      <c r="G23" s="14" t="n"/>
      <c r="H23" s="14" t="n">
        <v>0.95</v>
      </c>
    </row>
    <row r="24">
      <c r="A24" s="14" t="inlineStr">
        <is>
          <t>FULLY SIGNED COMPL_DEF_Huurovereenkomst_Bond_Bergschot_Breda.pdf</t>
        </is>
      </c>
      <c r="B24" s="14" t="inlineStr">
        <is>
          <t>180178.20</t>
        </is>
      </c>
      <c r="C24" s="15" t="inlineStr">
        <is>
          <t>180178.20</t>
        </is>
      </c>
      <c r="D24" s="14" t="n"/>
      <c r="E24" s="14" t="n"/>
      <c r="F24" s="14" t="n"/>
      <c r="G24" s="14" t="n"/>
      <c r="H24" s="14" t="n">
        <v>0.95</v>
      </c>
    </row>
    <row r="25">
      <c r="A25" s="14" t="inlineStr">
        <is>
          <t>FullySigned_Allonge_II_Virtual_Vaults_Nederland.pdf</t>
        </is>
      </c>
      <c r="B25" s="14" t="inlineStr">
        <is>
          <t>191575.00</t>
        </is>
      </c>
      <c r="C25" s="15" t="inlineStr">
        <is>
          <t>191575.00</t>
        </is>
      </c>
      <c r="D25" s="14" t="n"/>
      <c r="E25" s="14" t="n"/>
      <c r="F25" s="14" t="n"/>
      <c r="G25" s="14" t="n"/>
      <c r="H25" s="14" t="n">
        <v>0.95</v>
      </c>
    </row>
    <row r="26">
      <c r="A26" s="14" t="inlineStr">
        <is>
          <t>FullySigned_Lease_Agreement_Neste_EDGE_Coolsingel.pdf</t>
        </is>
      </c>
      <c r="B26" s="14" t="inlineStr">
        <is>
          <t>453900</t>
        </is>
      </c>
      <c r="C26" s="15" t="inlineStr">
        <is>
          <t>453900</t>
        </is>
      </c>
      <c r="D26" s="14" t="n"/>
      <c r="E26" s="14" t="n"/>
      <c r="F26" s="14" t="n"/>
      <c r="G26" s="14" t="n"/>
      <c r="H26" s="14" t="n">
        <v>0.9695876288659794</v>
      </c>
    </row>
    <row r="27">
      <c r="A27" s="14" t="inlineStr">
        <is>
          <t>HOK Waalhaven Group (signed).pdf</t>
        </is>
      </c>
      <c r="B27" s="14" t="inlineStr">
        <is>
          <t>128490</t>
        </is>
      </c>
      <c r="C27" s="15" t="inlineStr">
        <is>
          <t>128490</t>
        </is>
      </c>
      <c r="D27" s="14" t="n"/>
      <c r="E27" s="14" t="n"/>
      <c r="F27" s="14" t="n"/>
      <c r="G27" s="14" t="n"/>
      <c r="H27" s="14" t="n">
        <v>0.95</v>
      </c>
    </row>
    <row r="28">
      <c r="A28" s="14" t="inlineStr">
        <is>
          <t>Hovk Avans  (3e+4e+5e verd.) 20140425.pdf</t>
        </is>
      </c>
      <c r="B28" s="14" t="inlineStr">
        <is>
          <t>200430.00</t>
        </is>
      </c>
      <c r="C28" s="15" t="inlineStr">
        <is>
          <t>200430.00</t>
        </is>
      </c>
      <c r="D28" s="14" t="n"/>
      <c r="E28" s="14" t="n"/>
      <c r="F28" s="14" t="n"/>
      <c r="G28" s="14" t="n"/>
      <c r="H28" s="14" t="n">
        <v>0.95</v>
      </c>
    </row>
    <row r="29">
      <c r="A29" s="14" t="inlineStr">
        <is>
          <t>HOVK Power4People 2025.pdf</t>
        </is>
      </c>
      <c r="B29" s="14" t="inlineStr">
        <is>
          <t>1270.00</t>
        </is>
      </c>
      <c r="C29" s="15" t="inlineStr">
        <is>
          <t>1270.00</t>
        </is>
      </c>
      <c r="D29" s="14" t="n"/>
      <c r="E29" s="14" t="n"/>
      <c r="F29" s="14" t="n"/>
      <c r="G29" s="14" t="n"/>
      <c r="H29" s="14" t="n">
        <v>0.9695876288659794</v>
      </c>
    </row>
    <row r="30">
      <c r="A30" s="14" t="inlineStr">
        <is>
          <t>Huurovereenkomst (Semmie Group B.V.) - Wilhelminasingel 19, Breda.pdf</t>
        </is>
      </c>
      <c r="B30" s="14" t="inlineStr">
        <is>
          <t>29469.55</t>
        </is>
      </c>
      <c r="C30" s="15" t="inlineStr">
        <is>
          <t>29469.55</t>
        </is>
      </c>
      <c r="D30" s="14" t="n"/>
      <c r="E30" s="14" t="n"/>
      <c r="F30" s="14" t="n"/>
      <c r="G30" s="14" t="n"/>
      <c r="H30" s="14" t="n">
        <v>0.95</v>
      </c>
    </row>
    <row r="31">
      <c r="A31" s="14" t="inlineStr">
        <is>
          <t>Huurovereenkomst - proces-verbaal van oplevering - sleuteloverdracht - Kennedyplein 101 - getekend.pdf</t>
        </is>
      </c>
      <c r="B31" s="14" t="inlineStr">
        <is>
          <t>72162</t>
        </is>
      </c>
      <c r="C31" s="15" t="inlineStr">
        <is>
          <t>72162</t>
        </is>
      </c>
      <c r="D31" s="14" t="n"/>
      <c r="E31" s="14" t="n"/>
      <c r="F31" s="14" t="n"/>
      <c r="G31" s="14" t="n"/>
      <c r="H31" s="14" t="n">
        <v>0.955435708203236</v>
      </c>
    </row>
    <row r="32">
      <c r="A32" s="14" t="inlineStr">
        <is>
          <t>Huurovereenkomst Bijster 5 te Breda getekend.pdf</t>
        </is>
      </c>
      <c r="B32" s="14" t="inlineStr">
        <is>
          <t>63725.00</t>
        </is>
      </c>
      <c r="C32" s="15" t="inlineStr">
        <is>
          <t>63725.00</t>
        </is>
      </c>
      <c r="D32" s="14" t="n"/>
      <c r="E32" s="14" t="n"/>
      <c r="F32" s="14" t="n"/>
      <c r="G32" s="14" t="n"/>
      <c r="H32" s="14" t="n">
        <v>0.95</v>
      </c>
    </row>
    <row r="33">
      <c r="A33" s="14" t="inlineStr">
        <is>
          <t>Huurovereenkomst Catena Pand Son - Skymark (Son en Breugel - NLD).pdf</t>
        </is>
      </c>
      <c r="B33" s="14" t="inlineStr">
        <is>
          <t>241850.00</t>
        </is>
      </c>
      <c r="C33" s="15" t="inlineStr">
        <is>
          <t>241850.00</t>
        </is>
      </c>
      <c r="D33" s="14" t="n"/>
      <c r="E33" s="14" t="n"/>
      <c r="F33" s="14" t="n"/>
      <c r="G33" s="14" t="n"/>
      <c r="H33" s="14" t="n">
        <v>0.9695876288659794</v>
      </c>
    </row>
    <row r="34">
      <c r="A34" s="14" t="inlineStr">
        <is>
          <t>Huurovereenkomst KPN Opstelpunt Parallelweg 64 20130313.pdf</t>
        </is>
      </c>
      <c r="B34" s="14" t="inlineStr">
        <is>
          <t>4275.00</t>
        </is>
      </c>
      <c r="C34" s="15" t="inlineStr">
        <is>
          <t>4275.00</t>
        </is>
      </c>
      <c r="D34" s="14" t="n"/>
      <c r="E34" s="14" t="n"/>
      <c r="F34" s="14" t="n"/>
      <c r="G34" s="14" t="n"/>
      <c r="H34" s="14" t="n">
        <v>0.95</v>
      </c>
    </row>
    <row r="35">
      <c r="A35" s="14" t="inlineStr">
        <is>
          <t>Huurovereenkomst PBG Parallelweg 64 (beg.grond) 20121008.pdf</t>
        </is>
      </c>
      <c r="B35" s="14" t="inlineStr">
        <is>
          <t>98630</t>
        </is>
      </c>
      <c r="C35" s="15" t="inlineStr">
        <is>
          <t>98630</t>
        </is>
      </c>
      <c r="D35" s="14" t="n"/>
      <c r="E35" s="14" t="n"/>
      <c r="F35" s="14" t="n"/>
      <c r="G35" s="14" t="n"/>
      <c r="H35" s="14" t="n">
        <v>0.9647668393782383</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EUR</t>
        </is>
      </c>
      <c r="C2" s="15" t="inlineStr">
        <is>
          <t>EUR</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EUR</t>
        </is>
      </c>
      <c r="C3" s="15" t="inlineStr">
        <is>
          <t>EUR</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EUR</t>
        </is>
      </c>
      <c r="C4" s="15" t="inlineStr">
        <is>
          <t>EUR</t>
        </is>
      </c>
      <c r="D4" s="14" t="n"/>
      <c r="E4" s="14" t="n"/>
      <c r="F4" s="14" t="n"/>
      <c r="G4" s="14" t="n"/>
      <c r="H4" s="14" t="n">
        <v>0.95</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EUR</t>
        </is>
      </c>
      <c r="C5" s="15" t="inlineStr">
        <is>
          <t>EUR</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EUR</t>
        </is>
      </c>
      <c r="C7" s="15" t="inlineStr">
        <is>
          <t>EUR</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inlineStr">
        <is>
          <t>EUR</t>
        </is>
      </c>
      <c r="C8" s="15" t="inlineStr">
        <is>
          <t>EUR</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EUR</t>
        </is>
      </c>
      <c r="C9" s="15" t="inlineStr">
        <is>
          <t>EUR</t>
        </is>
      </c>
      <c r="D9" s="14" t="n"/>
      <c r="E9" s="14" t="n"/>
      <c r="F9" s="14" t="n"/>
      <c r="G9" s="14" t="n"/>
      <c r="H9" s="14" t="n">
        <v>0.9695876288659794</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EUR</t>
        </is>
      </c>
      <c r="C10" s="15" t="inlineStr">
        <is>
          <t>EUR</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inlineStr">
        <is>
          <t>EUR</t>
        </is>
      </c>
      <c r="C11" s="15" t="inlineStr">
        <is>
          <t>EUR</t>
        </is>
      </c>
      <c r="D11" s="14" t="n"/>
      <c r="E11" s="14" t="n"/>
      <c r="F11" s="14" t="n"/>
      <c r="G11" s="14" t="n"/>
      <c r="H11" s="14" t="n">
        <v>0.95</v>
      </c>
      <c r="K11" s="17" t="inlineStr">
        <is>
          <t>Validation Rules Example</t>
        </is>
      </c>
    </row>
    <row r="12">
      <c r="A12" s="14" t="inlineStr">
        <is>
          <t>240119 HOVK Spoorlaan 446-448 Tilburg signed.pdf</t>
        </is>
      </c>
      <c r="B12" s="14" t="inlineStr">
        <is>
          <t>EUR</t>
        </is>
      </c>
      <c r="C12" s="15" t="inlineStr">
        <is>
          <t>EUR</t>
        </is>
      </c>
      <c r="D12" s="14" t="n"/>
      <c r="E12" s="14" t="n"/>
      <c r="F12" s="14" t="n"/>
      <c r="G12" s="14" t="n"/>
      <c r="H12" s="14" t="n">
        <v>0.9695876288659794</v>
      </c>
      <c r="K12" s="16" t="inlineStr">
        <is>
          <t>Manual Data</t>
        </is>
      </c>
      <c r="L12" s="16" t="inlineStr">
        <is>
          <t>Response Data</t>
        </is>
      </c>
      <c r="M12" s="16" t="inlineStr">
        <is>
          <t>Result</t>
        </is>
      </c>
    </row>
    <row r="13">
      <c r="A13" s="14" t="inlineStr">
        <is>
          <t>27001 Rijksvastgoedbedrijf Huurovereenkomst - __27-01-2026_9-07-56.pdf</t>
        </is>
      </c>
      <c r="B13" s="14" t="inlineStr">
        <is>
          <t>EUR</t>
        </is>
      </c>
      <c r="C13" s="15" t="inlineStr">
        <is>
          <t>EUR</t>
        </is>
      </c>
      <c r="D13" s="14" t="n"/>
      <c r="E13" s="14" t="n"/>
      <c r="F13" s="14" t="n"/>
      <c r="G13" s="14" t="n"/>
      <c r="H13" s="14" t="n">
        <v>0.95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inlineStr">
        <is>
          <t>EUR</t>
        </is>
      </c>
      <c r="C16" s="15" t="inlineStr">
        <is>
          <t>EUR</t>
        </is>
      </c>
      <c r="D16" s="14" t="n"/>
      <c r="E16" s="14" t="n"/>
      <c r="F16" s="14" t="n"/>
      <c r="G16" s="14" t="n"/>
      <c r="H16" s="14" t="n">
        <v>0.95</v>
      </c>
      <c r="K16" t="n">
        <v>100</v>
      </c>
      <c r="M16" t="inlineStr">
        <is>
          <t>FN</t>
        </is>
      </c>
    </row>
    <row r="17">
      <c r="A17" s="14" t="inlineStr">
        <is>
          <t>COMPL Huurovereenkomst - Stichting CCE - Kantoorgebouw Metzpoint I Dr. Holtroplaan - Fully Signed.pdf</t>
        </is>
      </c>
      <c r="B17" s="14" t="inlineStr">
        <is>
          <t>EUR</t>
        </is>
      </c>
      <c r="C17" s="15" t="inlineStr">
        <is>
          <t>EUR</t>
        </is>
      </c>
      <c r="D17" s="14" t="n"/>
      <c r="E17" s="14" t="n"/>
      <c r="F17" s="14" t="n"/>
      <c r="G17" s="14" t="n"/>
      <c r="H17" s="14" t="n">
        <v>0.9695876288659794</v>
      </c>
      <c r="M17" t="inlineStr">
        <is>
          <t>TN</t>
        </is>
      </c>
    </row>
    <row r="18">
      <c r="A18" s="14" t="inlineStr">
        <is>
          <t>COMPL Regel Partners - HOVK - Luchthavenweg 81 - 20260728.pdf</t>
        </is>
      </c>
      <c r="B18" s="14" t="n"/>
      <c r="C18" s="15" t="n"/>
      <c r="D18" s="14" t="n"/>
      <c r="E18" s="14" t="n"/>
      <c r="F18" s="14" t="n"/>
      <c r="G18" s="14" t="n"/>
      <c r="H18" s="14" t="n"/>
    </row>
    <row r="19">
      <c r="A19" s="14" t="inlineStr">
        <is>
          <t>COMPL_-_Onderhuurovereenkomst_Zelfstroom_B.V._-_50five_B.V._-_kantoorgebouw_Riva_-_05032026.pdf</t>
        </is>
      </c>
      <c r="B19" s="14" t="n"/>
      <c r="C19" s="15" t="n"/>
      <c r="D19" s="14" t="n"/>
      <c r="E19" s="14" t="n"/>
      <c r="F19" s="14" t="n"/>
      <c r="G19" s="14" t="n"/>
      <c r="H19" s="14" t="n"/>
      <c r="K19" s="17" t="inlineStr">
        <is>
          <t>Field:</t>
        </is>
      </c>
      <c r="L19" t="inlineStr">
        <is>
          <t>measurements / asking_rent_yearly_uom</t>
        </is>
      </c>
    </row>
    <row r="20">
      <c r="A20" s="14" t="inlineStr">
        <is>
          <t>Den Bosch, Ruwekampweg 4, HOVK getekend.pdf</t>
        </is>
      </c>
      <c r="B20" s="14" t="inlineStr">
        <is>
          <t>EUR</t>
        </is>
      </c>
      <c r="C20" s="15" t="inlineStr">
        <is>
          <t>EUR</t>
        </is>
      </c>
      <c r="D20" s="14" t="n"/>
      <c r="E20" s="14" t="n"/>
      <c r="F20" s="14" t="n"/>
      <c r="G20" s="14" t="n"/>
      <c r="H20" s="14" t="n">
        <v>0.9695876288659794</v>
      </c>
    </row>
    <row r="21">
      <c r="A21" s="14" t="inlineStr">
        <is>
          <t>FULLY SIGNED - COMPL Huurovereenkomst - Heijmans - Hugo de Grootlaan 23 's-Hertogenbosch V2 30-9-2025.pdf</t>
        </is>
      </c>
      <c r="B21" s="14" t="inlineStr">
        <is>
          <t>EUR</t>
        </is>
      </c>
      <c r="C21" s="15" t="inlineStr">
        <is>
          <t>EUR</t>
        </is>
      </c>
      <c r="D21" s="14" t="n"/>
      <c r="E21" s="14" t="n"/>
      <c r="F21" s="14" t="n"/>
      <c r="G21" s="14" t="n"/>
      <c r="H21" s="14" t="n">
        <v>0.95</v>
      </c>
    </row>
    <row r="22">
      <c r="A22" s="14" t="inlineStr">
        <is>
          <t>FULLY SIGNED - DEF_COMPL_Huurovereenkomst_Robo_Charge_-_Campus_Offices_-_20260220.pdf</t>
        </is>
      </c>
      <c r="B22" s="14" t="inlineStr">
        <is>
          <t>EUR</t>
        </is>
      </c>
      <c r="C22" s="15" t="inlineStr">
        <is>
          <t>EUR</t>
        </is>
      </c>
      <c r="D22" s="14" t="n"/>
      <c r="E22" s="14" t="n"/>
      <c r="F22" s="14" t="n"/>
      <c r="G22" s="14" t="n"/>
      <c r="H22" s="14" t="n">
        <v>0.9695876288659794</v>
      </c>
    </row>
    <row r="23">
      <c r="A23" s="14" t="inlineStr">
        <is>
          <t>FULLY SIGNED - Onderhuurovereenkomst Aartshertogenlaan 223, `s-Hertogenbosch - Koning Willem I College B.V. 2606202.pdf</t>
        </is>
      </c>
      <c r="B23" s="14" t="inlineStr">
        <is>
          <t>EUR</t>
        </is>
      </c>
      <c r="C23" s="15" t="inlineStr">
        <is>
          <t>EUR</t>
        </is>
      </c>
      <c r="D23" s="14" t="n"/>
      <c r="E23" s="14" t="n"/>
      <c r="F23" s="14" t="n"/>
      <c r="G23" s="14" t="n"/>
      <c r="H23" s="14" t="n">
        <v>0.95</v>
      </c>
    </row>
    <row r="24">
      <c r="A24" s="14" t="inlineStr">
        <is>
          <t>FULLY SIGNED COMPL_DEF_Huurovereenkomst_Bond_Bergschot_Breda.pdf</t>
        </is>
      </c>
      <c r="B24" s="14" t="inlineStr">
        <is>
          <t>EUR</t>
        </is>
      </c>
      <c r="C24" s="15" t="inlineStr">
        <is>
          <t>EUR</t>
        </is>
      </c>
      <c r="D24" s="14" t="n"/>
      <c r="E24" s="14" t="n"/>
      <c r="F24" s="14" t="n"/>
      <c r="G24" s="14" t="n"/>
      <c r="H24" s="14" t="n">
        <v>0.95</v>
      </c>
    </row>
    <row r="25">
      <c r="A25" s="14" t="inlineStr">
        <is>
          <t>FullySigned_Allonge_II_Virtual_Vaults_Nederland.pdf</t>
        </is>
      </c>
      <c r="B25" s="14" t="inlineStr">
        <is>
          <t>EUR</t>
        </is>
      </c>
      <c r="C25" s="15" t="inlineStr">
        <is>
          <t>EUR</t>
        </is>
      </c>
      <c r="D25" s="14" t="n"/>
      <c r="E25" s="14" t="n"/>
      <c r="F25" s="14" t="n"/>
      <c r="G25" s="14" t="n"/>
      <c r="H25" s="14" t="n">
        <v>0.95</v>
      </c>
    </row>
    <row r="26">
      <c r="A26" s="14" t="inlineStr">
        <is>
          <t>FullySigned_Lease_Agreement_Neste_EDGE_Coolsingel.pdf</t>
        </is>
      </c>
      <c r="B26" s="14" t="inlineStr">
        <is>
          <t>EUR</t>
        </is>
      </c>
      <c r="C26" s="15" t="inlineStr">
        <is>
          <t>EUR</t>
        </is>
      </c>
      <c r="D26" s="14" t="n"/>
      <c r="E26" s="14" t="n"/>
      <c r="F26" s="14" t="n"/>
      <c r="G26" s="14" t="n"/>
      <c r="H26" s="14" t="n">
        <v>0.9695876288659794</v>
      </c>
    </row>
    <row r="27">
      <c r="A27" s="14" t="inlineStr">
        <is>
          <t>HOK Waalhaven Group (signed).pdf</t>
        </is>
      </c>
      <c r="B27" s="14" t="inlineStr">
        <is>
          <t>EUR</t>
        </is>
      </c>
      <c r="C27" s="15" t="inlineStr">
        <is>
          <t>EUR</t>
        </is>
      </c>
      <c r="D27" s="14" t="n"/>
      <c r="E27" s="14" t="n"/>
      <c r="F27" s="14" t="n"/>
      <c r="G27" s="14" t="n"/>
      <c r="H27" s="14" t="n">
        <v>0.95</v>
      </c>
    </row>
    <row r="28">
      <c r="A28" s="14" t="inlineStr">
        <is>
          <t>Hovk Avans  (3e+4e+5e verd.) 20140425.pdf</t>
        </is>
      </c>
      <c r="B28" s="14" t="inlineStr">
        <is>
          <t>EUR</t>
        </is>
      </c>
      <c r="C28" s="15" t="inlineStr">
        <is>
          <t>EUR</t>
        </is>
      </c>
      <c r="D28" s="14" t="n"/>
      <c r="E28" s="14" t="n"/>
      <c r="F28" s="14" t="n"/>
      <c r="G28" s="14" t="n"/>
      <c r="H28" s="14" t="n">
        <v>0.95</v>
      </c>
    </row>
    <row r="29">
      <c r="A29" s="14" t="inlineStr">
        <is>
          <t>HOVK Power4People 2025.pdf</t>
        </is>
      </c>
      <c r="B29" s="14" t="inlineStr">
        <is>
          <t>EUR</t>
        </is>
      </c>
      <c r="C29" s="15" t="inlineStr">
        <is>
          <t>EUR</t>
        </is>
      </c>
      <c r="D29" s="14" t="n"/>
      <c r="E29" s="14" t="n"/>
      <c r="F29" s="14" t="n"/>
      <c r="G29" s="14" t="n"/>
      <c r="H29" s="14" t="n">
        <v>0.9695876288659794</v>
      </c>
    </row>
    <row r="30">
      <c r="A30" s="14" t="inlineStr">
        <is>
          <t>Huurovereenkomst (Semmie Group B.V.) - Wilhelminasingel 19, Breda.pdf</t>
        </is>
      </c>
      <c r="B30" s="14" t="inlineStr">
        <is>
          <t>EUR</t>
        </is>
      </c>
      <c r="C30" s="15" t="inlineStr">
        <is>
          <t>EUR</t>
        </is>
      </c>
      <c r="D30" s="14" t="n"/>
      <c r="E30" s="14" t="n"/>
      <c r="F30" s="14" t="n"/>
      <c r="G30" s="14" t="n"/>
      <c r="H30" s="14" t="n">
        <v>0.95</v>
      </c>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inlineStr">
        <is>
          <t>EUR</t>
        </is>
      </c>
      <c r="C32" s="15" t="inlineStr">
        <is>
          <t>EUR</t>
        </is>
      </c>
      <c r="D32" s="14" t="n"/>
      <c r="E32" s="14" t="n"/>
      <c r="F32" s="14" t="n"/>
      <c r="G32" s="14" t="n"/>
      <c r="H32" s="14" t="n">
        <v>0.95</v>
      </c>
    </row>
    <row r="33">
      <c r="A33" s="14" t="inlineStr">
        <is>
          <t>Huurovereenkomst Catena Pand Son - Skymark (Son en Breugel - NLD).pdf</t>
        </is>
      </c>
      <c r="B33" s="14" t="inlineStr">
        <is>
          <t>EUR</t>
        </is>
      </c>
      <c r="C33" s="15" t="inlineStr">
        <is>
          <t>EUR</t>
        </is>
      </c>
      <c r="D33" s="14" t="n"/>
      <c r="E33" s="14" t="n"/>
      <c r="F33" s="14" t="n"/>
      <c r="G33" s="14" t="n"/>
      <c r="H33" s="14" t="n">
        <v>0.9695876288659794</v>
      </c>
    </row>
    <row r="34">
      <c r="A34" s="14" t="inlineStr">
        <is>
          <t>Huurovereenkomst KPN Opstelpunt Parallelweg 64 20130313.pdf</t>
        </is>
      </c>
      <c r="B34" s="14" t="inlineStr">
        <is>
          <t>EUR</t>
        </is>
      </c>
      <c r="C34" s="15" t="inlineStr">
        <is>
          <t>EUR</t>
        </is>
      </c>
      <c r="D34" s="14" t="n"/>
      <c r="E34" s="14" t="n"/>
      <c r="F34" s="14" t="n"/>
      <c r="G34" s="14" t="n"/>
      <c r="H34" s="14" t="n">
        <v>0.95</v>
      </c>
    </row>
    <row r="35">
      <c r="A35" s="14" t="inlineStr">
        <is>
          <t>Huurovereenkomst PBG Parallelweg 64 (beg.grond) 20121008.pdf</t>
        </is>
      </c>
      <c r="B35" s="14" t="inlineStr">
        <is>
          <t>EUR</t>
        </is>
      </c>
      <c r="C35" s="15" t="inlineStr">
        <is>
          <t>EUR</t>
        </is>
      </c>
      <c r="D35" s="14" t="n"/>
      <c r="E35" s="14" t="n"/>
      <c r="F35" s="14" t="n"/>
      <c r="G35" s="14" t="n"/>
      <c r="H35" s="14" t="n">
        <v>0.9647668393782383</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Office Area</t>
        </is>
      </c>
      <c r="C2" s="15" t="inlineStr">
        <is>
          <t>Office Area</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Office Area</t>
        </is>
      </c>
      <c r="C3" s="15" t="inlineStr">
        <is>
          <t>Office Area</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Office Area</t>
        </is>
      </c>
      <c r="C4" s="15" t="inlineStr">
        <is>
          <t>Office Area</t>
        </is>
      </c>
      <c r="D4" s="14" t="n"/>
      <c r="E4" s="14" t="n"/>
      <c r="F4" s="14" t="n"/>
      <c r="G4" s="14" t="n"/>
      <c r="H4" s="14" t="n">
        <v>0.95</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Office Area</t>
        </is>
      </c>
      <c r="C5" s="15" t="inlineStr">
        <is>
          <t>Office Area</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Office Area</t>
        </is>
      </c>
      <c r="C6" s="15" t="inlineStr">
        <is>
          <t>Office Area</t>
        </is>
      </c>
      <c r="D6" s="14" t="n"/>
      <c r="E6" s="14" t="n"/>
      <c r="F6" s="14" t="n"/>
      <c r="G6" s="14" t="n"/>
      <c r="H6" s="14" t="n">
        <v>0.95</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Office Area</t>
        </is>
      </c>
      <c r="C7" s="15" t="inlineStr">
        <is>
          <t>Office Area</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inlineStr">
        <is>
          <t>Office Area</t>
        </is>
      </c>
      <c r="C8" s="15" t="inlineStr">
        <is>
          <t>Office Area</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Office Area</t>
        </is>
      </c>
      <c r="C9" s="15" t="inlineStr">
        <is>
          <t>Office Area</t>
        </is>
      </c>
      <c r="D9" s="14" t="n"/>
      <c r="E9" s="14" t="n"/>
      <c r="F9" s="14" t="n"/>
      <c r="G9" s="14" t="n"/>
      <c r="H9" s="14" t="n">
        <v>0.9695876288659794</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Office Area</t>
        </is>
      </c>
      <c r="C10" s="15" t="inlineStr">
        <is>
          <t>Office Area</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inlineStr">
        <is>
          <t>Office Area</t>
        </is>
      </c>
      <c r="C11" s="15" t="inlineStr">
        <is>
          <t>Office Area</t>
        </is>
      </c>
      <c r="D11" s="14" t="n"/>
      <c r="E11" s="14" t="n"/>
      <c r="F11" s="14" t="n"/>
      <c r="G11" s="14" t="n"/>
      <c r="H11" s="14" t="n">
        <v>0.95</v>
      </c>
      <c r="K11" s="17" t="inlineStr">
        <is>
          <t>Validation Rules Example</t>
        </is>
      </c>
    </row>
    <row r="12">
      <c r="A12" s="14" t="inlineStr">
        <is>
          <t>240119 HOVK Spoorlaan 446-448 Tilburg signed.pdf</t>
        </is>
      </c>
      <c r="B12" s="14" t="inlineStr">
        <is>
          <t>Office Area</t>
        </is>
      </c>
      <c r="C12" s="15" t="inlineStr">
        <is>
          <t>Office Area</t>
        </is>
      </c>
      <c r="D12" s="14" t="n"/>
      <c r="E12" s="14" t="n"/>
      <c r="F12" s="14" t="n"/>
      <c r="G12" s="14" t="n"/>
      <c r="H12" s="14" t="n">
        <v>0.9695876288659794</v>
      </c>
      <c r="K12" s="16" t="inlineStr">
        <is>
          <t>Manual Data</t>
        </is>
      </c>
      <c r="L12" s="16" t="inlineStr">
        <is>
          <t>Response Data</t>
        </is>
      </c>
      <c r="M12" s="16" t="inlineStr">
        <is>
          <t>Result</t>
        </is>
      </c>
    </row>
    <row r="13">
      <c r="A13" s="14" t="inlineStr">
        <is>
          <t>27001 Rijksvastgoedbedrijf Huurovereenkomst - __27-01-2026_9-07-56.pdf</t>
        </is>
      </c>
      <c r="B13" s="14" t="inlineStr">
        <is>
          <t>Office Area</t>
        </is>
      </c>
      <c r="C13" s="15" t="inlineStr">
        <is>
          <t>Office Area</t>
        </is>
      </c>
      <c r="D13" s="14" t="n"/>
      <c r="E13" s="14" t="n"/>
      <c r="F13" s="14" t="n"/>
      <c r="G13" s="14" t="n"/>
      <c r="H13" s="14" t="n">
        <v>0.95</v>
      </c>
      <c r="K13" t="n">
        <v>100</v>
      </c>
      <c r="L13" t="n">
        <v>100</v>
      </c>
      <c r="M13" t="inlineStr">
        <is>
          <t>TP</t>
        </is>
      </c>
    </row>
    <row r="14">
      <c r="A14" s="14" t="inlineStr">
        <is>
          <t>CBRE_AT_Services_ENG_-_RITUALS_CBRE signed.pdf</t>
        </is>
      </c>
      <c r="B14" s="14" t="inlineStr">
        <is>
          <t>Retail Area</t>
        </is>
      </c>
      <c r="C14" s="15" t="inlineStr">
        <is>
          <t>Retail Area</t>
        </is>
      </c>
      <c r="D14" s="14" t="n"/>
      <c r="E14" s="14" t="n"/>
      <c r="F14" s="14" t="n"/>
      <c r="G14" s="14" t="n"/>
      <c r="H14" s="14" t="n">
        <v>0.9695876288659794</v>
      </c>
      <c r="L14" t="n">
        <v>100</v>
      </c>
      <c r="M14" t="inlineStr">
        <is>
          <t>FP</t>
        </is>
      </c>
    </row>
    <row r="15">
      <c r="A15" s="14" t="inlineStr">
        <is>
          <t>CBRE_Engagement_Letter_Alnylam_20260525_CLEAN_Version_signed all.pdf</t>
        </is>
      </c>
      <c r="B15" s="14" t="inlineStr">
        <is>
          <t>Office Area</t>
        </is>
      </c>
      <c r="C15" s="15" t="inlineStr">
        <is>
          <t>Office Area</t>
        </is>
      </c>
      <c r="D15" s="14" t="n"/>
      <c r="E15" s="14" t="n"/>
      <c r="F15" s="14" t="n"/>
      <c r="G15" s="14" t="n"/>
      <c r="H15" s="14" t="n">
        <v>0.9647668393782383</v>
      </c>
      <c r="K15" t="n">
        <v>100</v>
      </c>
      <c r="L15" t="n">
        <v>200</v>
      </c>
      <c r="M15" t="inlineStr">
        <is>
          <t>FP</t>
        </is>
      </c>
    </row>
    <row r="16">
      <c r="A16" s="14" t="inlineStr">
        <is>
          <t>COMPL DEF Huurovereenkomst - Skybox - Pepperl+Fuchs - 20260204.pdf</t>
        </is>
      </c>
      <c r="B16" s="14" t="inlineStr">
        <is>
          <t>Office Area</t>
        </is>
      </c>
      <c r="C16" s="15" t="inlineStr">
        <is>
          <t>Office Area</t>
        </is>
      </c>
      <c r="D16" s="14" t="n"/>
      <c r="E16" s="14" t="n"/>
      <c r="F16" s="14" t="n"/>
      <c r="G16" s="14" t="n"/>
      <c r="H16" s="14" t="n">
        <v>0.95</v>
      </c>
      <c r="K16" t="n">
        <v>100</v>
      </c>
      <c r="M16" t="inlineStr">
        <is>
          <t>FN</t>
        </is>
      </c>
    </row>
    <row r="17">
      <c r="A17" s="14" t="inlineStr">
        <is>
          <t>COMPL Huurovereenkomst - Stichting CCE - Kantoorgebouw Metzpoint I Dr. Holtroplaan - Fully Signed.pdf</t>
        </is>
      </c>
      <c r="B17" s="14" t="inlineStr">
        <is>
          <t>Office Area</t>
        </is>
      </c>
      <c r="C17" s="15" t="inlineStr">
        <is>
          <t>Office Area</t>
        </is>
      </c>
      <c r="D17" s="14" t="n"/>
      <c r="E17" s="14" t="n"/>
      <c r="F17" s="14" t="n"/>
      <c r="G17" s="14" t="n"/>
      <c r="H17" s="14" t="n">
        <v>0.9695876288659794</v>
      </c>
      <c r="M17" t="inlineStr">
        <is>
          <t>TN</t>
        </is>
      </c>
    </row>
    <row r="18">
      <c r="A18" s="14" t="inlineStr">
        <is>
          <t>COMPL Regel Partners - HOVK - Luchthavenweg 81 - 20260728.pdf</t>
        </is>
      </c>
      <c r="B18" s="14" t="inlineStr">
        <is>
          <t>Office Area</t>
        </is>
      </c>
      <c r="C18" s="15" t="inlineStr">
        <is>
          <t>Office Area</t>
        </is>
      </c>
      <c r="D18" s="14" t="n"/>
      <c r="E18" s="14" t="n"/>
      <c r="F18" s="14" t="n"/>
      <c r="G18" s="14" t="n"/>
      <c r="H18" s="14" t="n">
        <v>0.9695876288659794</v>
      </c>
    </row>
    <row r="19">
      <c r="A19" s="14" t="inlineStr">
        <is>
          <t>COMPL_-_Onderhuurovereenkomst_Zelfstroom_B.V._-_50five_B.V._-_kantoorgebouw_Riva_-_05032026.pdf</t>
        </is>
      </c>
      <c r="B19" s="14" t="inlineStr">
        <is>
          <t>Office Area</t>
        </is>
      </c>
      <c r="C19" s="15" t="inlineStr">
        <is>
          <t>Office Area</t>
        </is>
      </c>
      <c r="D19" s="14" t="n"/>
      <c r="E19" s="14" t="n"/>
      <c r="F19" s="14" t="n"/>
      <c r="G19" s="14" t="n"/>
      <c r="H19" s="14" t="n">
        <v>0.9695876288659794</v>
      </c>
      <c r="K19" s="17" t="inlineStr">
        <is>
          <t>Field:</t>
        </is>
      </c>
      <c r="L19" t="inlineStr">
        <is>
          <t>measurements / property_element_type_desc</t>
        </is>
      </c>
    </row>
    <row r="20">
      <c r="A20" s="14" t="inlineStr">
        <is>
          <t>Den Bosch, Ruwekampweg 4, HOVK getekend.pdf</t>
        </is>
      </c>
      <c r="B20" s="14" t="inlineStr">
        <is>
          <t>Warehouse Area</t>
        </is>
      </c>
      <c r="C20" s="15" t="inlineStr">
        <is>
          <t>Warehouse Area</t>
        </is>
      </c>
      <c r="D20" s="14" t="n"/>
      <c r="E20" s="14" t="n"/>
      <c r="F20" s="14" t="n"/>
      <c r="G20" s="14" t="n"/>
      <c r="H20" s="14" t="n">
        <v>0.9695876288659794</v>
      </c>
    </row>
    <row r="21">
      <c r="A21" s="14" t="inlineStr">
        <is>
          <t>FULLY SIGNED - COMPL Huurovereenkomst - Heijmans - Hugo de Grootlaan 23 's-Hertogenbosch V2 30-9-2025.pdf</t>
        </is>
      </c>
      <c r="B21" s="14" t="inlineStr">
        <is>
          <t>Office Area</t>
        </is>
      </c>
      <c r="C21" s="15" t="inlineStr">
        <is>
          <t>Office Area</t>
        </is>
      </c>
      <c r="D21" s="14" t="n"/>
      <c r="E21" s="14" t="n"/>
      <c r="F21" s="14" t="n"/>
      <c r="G21" s="14" t="n"/>
      <c r="H21" s="14" t="n">
        <v>0.95</v>
      </c>
    </row>
    <row r="22">
      <c r="A22" s="14" t="inlineStr">
        <is>
          <t>FULLY SIGNED - DEF_COMPL_Huurovereenkomst_Robo_Charge_-_Campus_Offices_-_20260220.pdf</t>
        </is>
      </c>
      <c r="B22" s="14" t="inlineStr">
        <is>
          <t>Office Area</t>
        </is>
      </c>
      <c r="C22" s="15" t="inlineStr">
        <is>
          <t>Office Area</t>
        </is>
      </c>
      <c r="D22" s="14" t="n"/>
      <c r="E22" s="14" t="n"/>
      <c r="F22" s="14" t="n"/>
      <c r="G22" s="14" t="n"/>
      <c r="H22" s="14" t="n">
        <v>0.9695876288659794</v>
      </c>
    </row>
    <row r="23">
      <c r="A23" s="14" t="inlineStr">
        <is>
          <t>FULLY SIGNED - Onderhuurovereenkomst Aartshertogenlaan 223, `s-Hertogenbosch - Koning Willem I College B.V. 2606202.pdf</t>
        </is>
      </c>
      <c r="B23" s="14" t="inlineStr">
        <is>
          <t>Office Area</t>
        </is>
      </c>
      <c r="C23" s="15" t="inlineStr">
        <is>
          <t>Office Area</t>
        </is>
      </c>
      <c r="D23" s="14" t="n"/>
      <c r="E23" s="14" t="n"/>
      <c r="F23" s="14" t="n"/>
      <c r="G23" s="14" t="n"/>
      <c r="H23" s="14" t="n">
        <v>0.95</v>
      </c>
    </row>
    <row r="24">
      <c r="A24" s="14" t="inlineStr">
        <is>
          <t>FULLY SIGNED COMPL_DEF_Huurovereenkomst_Bond_Bergschot_Breda.pdf</t>
        </is>
      </c>
      <c r="B24" s="14" t="inlineStr">
        <is>
          <t>Office Area</t>
        </is>
      </c>
      <c r="C24" s="15" t="inlineStr">
        <is>
          <t>Office Area</t>
        </is>
      </c>
      <c r="D24" s="14" t="n"/>
      <c r="E24" s="14" t="n"/>
      <c r="F24" s="14" t="n"/>
      <c r="G24" s="14" t="n"/>
      <c r="H24" s="14" t="n">
        <v>0.95</v>
      </c>
    </row>
    <row r="25">
      <c r="A25" s="14" t="inlineStr">
        <is>
          <t>FullySigned_Allonge_II_Virtual_Vaults_Nederland.pdf</t>
        </is>
      </c>
      <c r="B25" s="14" t="inlineStr">
        <is>
          <t>Office Area</t>
        </is>
      </c>
      <c r="C25" s="15" t="inlineStr">
        <is>
          <t>Office Area</t>
        </is>
      </c>
      <c r="D25" s="14" t="n"/>
      <c r="E25" s="14" t="n"/>
      <c r="F25" s="14" t="n"/>
      <c r="G25" s="14" t="n"/>
      <c r="H25" s="14" t="n">
        <v>0.95</v>
      </c>
    </row>
    <row r="26">
      <c r="A26" s="14" t="inlineStr">
        <is>
          <t>FullySigned_Lease_Agreement_Neste_EDGE_Coolsingel.pdf</t>
        </is>
      </c>
      <c r="B26" s="14" t="inlineStr">
        <is>
          <t>Office Area</t>
        </is>
      </c>
      <c r="C26" s="15" t="inlineStr">
        <is>
          <t>Office Area</t>
        </is>
      </c>
      <c r="D26" s="14" t="n"/>
      <c r="E26" s="14" t="n"/>
      <c r="F26" s="14" t="n"/>
      <c r="G26" s="14" t="n"/>
      <c r="H26" s="14" t="n">
        <v>0.9695876288659794</v>
      </c>
    </row>
    <row r="27">
      <c r="A27" s="14" t="inlineStr">
        <is>
          <t>HOK Waalhaven Group (signed).pdf</t>
        </is>
      </c>
      <c r="B27" s="14" t="inlineStr">
        <is>
          <t>Office Area</t>
        </is>
      </c>
      <c r="C27" s="15" t="inlineStr">
        <is>
          <t>Office Area</t>
        </is>
      </c>
      <c r="D27" s="14" t="n"/>
      <c r="E27" s="14" t="n"/>
      <c r="F27" s="14" t="n"/>
      <c r="G27" s="14" t="n"/>
      <c r="H27" s="14" t="n">
        <v>0.95</v>
      </c>
    </row>
    <row r="28">
      <c r="A28" s="14" t="inlineStr">
        <is>
          <t>Hovk Avans  (3e+4e+5e verd.) 20140425.pdf</t>
        </is>
      </c>
      <c r="B28" s="14" t="inlineStr">
        <is>
          <t>Office Area</t>
        </is>
      </c>
      <c r="C28" s="15" t="inlineStr">
        <is>
          <t>Office Area</t>
        </is>
      </c>
      <c r="D28" s="14" t="n"/>
      <c r="E28" s="14" t="n"/>
      <c r="F28" s="14" t="n"/>
      <c r="G28" s="14" t="n"/>
      <c r="H28" s="14" t="n">
        <v>0.95</v>
      </c>
    </row>
    <row r="29">
      <c r="A29" s="14" t="inlineStr">
        <is>
          <t>HOVK Power4People 2025.pdf</t>
        </is>
      </c>
      <c r="B29" s="14" t="inlineStr">
        <is>
          <t>Office Area</t>
        </is>
      </c>
      <c r="C29" s="15" t="inlineStr">
        <is>
          <t>Office Area</t>
        </is>
      </c>
      <c r="D29" s="14" t="n"/>
      <c r="E29" s="14" t="n"/>
      <c r="F29" s="14" t="n"/>
      <c r="G29" s="14" t="n"/>
      <c r="H29" s="14" t="n">
        <v>0.9695876288659794</v>
      </c>
    </row>
    <row r="30">
      <c r="A30" s="14" t="inlineStr">
        <is>
          <t>Huurovereenkomst (Semmie Group B.V.) - Wilhelminasingel 19, Breda.pdf</t>
        </is>
      </c>
      <c r="B30" s="14" t="inlineStr">
        <is>
          <t>Office Area</t>
        </is>
      </c>
      <c r="C30" s="15" t="inlineStr">
        <is>
          <t>Office Area</t>
        </is>
      </c>
      <c r="D30" s="14" t="n"/>
      <c r="E30" s="14" t="n"/>
      <c r="F30" s="14" t="n"/>
      <c r="G30" s="14" t="n"/>
      <c r="H30" s="14" t="n">
        <v>0.95</v>
      </c>
    </row>
    <row r="31">
      <c r="A31" s="14" t="inlineStr">
        <is>
          <t>Huurovereenkomst - proces-verbaal van oplevering - sleuteloverdracht - Kennedyplein 101 - getekend.pdf</t>
        </is>
      </c>
      <c r="B31" s="14" t="inlineStr">
        <is>
          <t>Office Area</t>
        </is>
      </c>
      <c r="C31" s="15" t="inlineStr">
        <is>
          <t>Office Area</t>
        </is>
      </c>
      <c r="D31" s="14" t="n"/>
      <c r="E31" s="14" t="n"/>
      <c r="F31" s="14" t="n"/>
      <c r="G31" s="14" t="n"/>
      <c r="H31" s="14" t="n">
        <v>0.9695876288659794</v>
      </c>
    </row>
    <row r="32">
      <c r="A32" s="14" t="inlineStr">
        <is>
          <t>Huurovereenkomst Bijster 5 te Breda getekend.pdf</t>
        </is>
      </c>
      <c r="B32" s="14" t="inlineStr">
        <is>
          <t>Office Area</t>
        </is>
      </c>
      <c r="C32" s="15" t="inlineStr">
        <is>
          <t>Office Area</t>
        </is>
      </c>
      <c r="D32" s="14" t="n"/>
      <c r="E32" s="14" t="n"/>
      <c r="F32" s="14" t="n"/>
      <c r="G32" s="14" t="n"/>
      <c r="H32" s="14" t="n">
        <v>0.95</v>
      </c>
    </row>
    <row r="33">
      <c r="A33" s="14" t="inlineStr">
        <is>
          <t>Huurovereenkomst Catena Pand Son - Skymark (Son en Breugel - NLD).pdf</t>
        </is>
      </c>
      <c r="B33" s="14" t="inlineStr">
        <is>
          <t>Office Area</t>
        </is>
      </c>
      <c r="C33" s="15" t="inlineStr">
        <is>
          <t>Office Area</t>
        </is>
      </c>
      <c r="D33" s="14" t="n"/>
      <c r="E33" s="14" t="n"/>
      <c r="F33" s="14" t="n"/>
      <c r="G33" s="14" t="n"/>
      <c r="H33" s="14" t="n">
        <v>0.9695876288659794</v>
      </c>
    </row>
    <row r="34">
      <c r="A34" s="14" t="inlineStr">
        <is>
          <t>Huurovereenkomst KPN Opstelpunt Parallelweg 64 20130313.pdf</t>
        </is>
      </c>
      <c r="B34" s="14" t="inlineStr">
        <is>
          <t>Antennedrager met Antennesystemen</t>
        </is>
      </c>
      <c r="C34" s="15" t="inlineStr">
        <is>
          <t>Antennedrager met Antennesystemen</t>
        </is>
      </c>
      <c r="D34" s="14" t="n"/>
      <c r="E34" s="14" t="n"/>
      <c r="F34" s="14" t="n"/>
      <c r="G34" s="14" t="n"/>
      <c r="H34" s="14" t="n">
        <v>0.95</v>
      </c>
    </row>
    <row r="35">
      <c r="A35" s="14" t="inlineStr">
        <is>
          <t>Huurovereenkomst PBG Parallelweg 64 (beg.grond) 20121008.pdf</t>
        </is>
      </c>
      <c r="B35" s="14" t="inlineStr">
        <is>
          <t>Office Area</t>
        </is>
      </c>
      <c r="C35" s="15" t="inlineStr">
        <is>
          <t>Office Area</t>
        </is>
      </c>
      <c r="D35" s="14" t="n"/>
      <c r="E35" s="14" t="n"/>
      <c r="F35" s="14" t="n"/>
      <c r="G35" s="14" t="n"/>
      <c r="H35" s="14" t="n">
        <v>0.9647668393782383</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ht="100.8" customHeight="1">
      <c r="A2" s="14" t="inlineStr">
        <is>
          <t>20181204 Huurovereenkomst (GETEKEND).PDF</t>
        </is>
      </c>
      <c r="B2" s="14" t="inlineStr">
        <is>
          <t>maximaal 10 m2 ten behoeve van een frame voor de plaatsing van apparatuurkasten, ruimte voor plaatsing van antennedragers, ruimte voor de overige Bedrijfsapparatuur alsmede ruimte om deze onderdelen te kunnen onderhouden; initiele looptijd 15 jaar, huurder: T-Mobile Netherlands B.V., verhuurder: Herbax Novum B.V., adres: Parallelweg 64-65, 's-Hertogenbosch. Huurprijs exclusief BTW, jaarlijkse indexering conform CPI.</t>
        </is>
      </c>
      <c r="C2" s="15" t="inlineStr">
        <is>
          <t>maximaal 10 m2 ten behoeve van een frame voor de plaatsing van apparatuurkasten, ruimte voor plaatsing van antennedragers, ruimte voor de overige Bedrijfsapparatuur alsmede ruimte om deze onderdelen te kunnen onderhouden; initiele looptijd 15 jaar, huurder: T-Mobile Netherlands B.V., verhuurder: Herbax Novum B.V., adres: Parallelweg 64-65, 's-Hertogenbosch. Huurprijs exclusief BTW, jaarlijkse indexering conform CPI.</t>
        </is>
      </c>
      <c r="D2" s="14" t="n"/>
      <c r="E2" s="14" t="n"/>
      <c r="F2" s="14" t="n"/>
      <c r="G2" s="14" t="n"/>
      <c r="H2" s="14" t="n">
        <v>0.9695876288659794</v>
      </c>
      <c r="K2" s="16" t="inlineStr">
        <is>
          <t>Metrics</t>
        </is>
      </c>
      <c r="L2" s="16" t="inlineStr">
        <is>
          <t>Percentage</t>
        </is>
      </c>
      <c r="N2" s="16" t="inlineStr">
        <is>
          <t>Metrics</t>
        </is>
      </c>
      <c r="O2" s="16" t="inlineStr">
        <is>
          <t>Percentage</t>
        </is>
      </c>
    </row>
    <row r="3" ht="57.6" customHeight="1">
      <c r="A3" s="14" t="inlineStr">
        <is>
          <t>2024.10.30_Office Rental Agreement Labs_Gruyter Fabriek.pdf</t>
        </is>
      </c>
      <c r="B3" s="14" t="inlineStr">
        <is>
          <t>Ruimte 6225; De Gruyter Fabriek, Veemarktkade 8, 5222 AE 's-Hertogenbosch; Maximale vloerbelasting 300 kg/m2; huuringangsdatum 1 januari 2025; alleen bestemd t.b.v. kantoorruimte t.b.v. het ontwikkelen, produceren en uitgeven van software</t>
        </is>
      </c>
      <c r="C3" s="15" t="inlineStr">
        <is>
          <t>Ruimte 6225; De Gruyter Fabriek, Veemarktkade 8, 5222 AE 's-Hertogenbosch; Maximale vloerbelasting 300 kg/m2; huuringangsdatum 1 januari 2025; alleen bestemd t.b.v. kantoorruimte t.b.v. het ontwikkelen, produceren en uitgeven van software</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ht="43.2" customHeight="1">
      <c r="A4" s="14" t="inlineStr">
        <is>
          <t>20240606_HOK AKD - EDGE Eindhoven execution version.pdf</t>
        </is>
      </c>
      <c r="B4" s="14" t="inlineStr">
        <is>
          <t>Zevende verdieping van het Gebouw, prijspeil Ingangsdatum; huurprijs kantoorruimte EUR255 per m2 v.v.o. per jaar; exclusief archiefruimte, inclusief pro rata aandeel algemene ruimten</t>
        </is>
      </c>
      <c r="C4" s="15" t="inlineStr">
        <is>
          <t>Zevende verdieping van het Gebouw, prijspeil Ingangsdatum; huurprijs kantoorruimte EUR255 per m2 v.v.o. per jaar; exclusief archiefruimte, inclusief pro rata aandeel algemene ruimten</t>
        </is>
      </c>
      <c r="D4" s="14" t="n"/>
      <c r="E4" s="14" t="n"/>
      <c r="F4" s="14" t="n"/>
      <c r="G4" s="14" t="n"/>
      <c r="H4" s="14" t="n">
        <v>0.95</v>
      </c>
      <c r="K4" s="17" t="inlineStr">
        <is>
          <t>Recall</t>
        </is>
      </c>
      <c r="L4" s="18">
        <f>IFERROR(COUNTIFS(D2:D36,"TP")/(COUNTIFS(D2:D36,"TP")+COUNTIFS(D2:D36,"FN")),0)</f>
        <v/>
      </c>
      <c r="N4" s="17" t="inlineStr">
        <is>
          <t>Recall</t>
        </is>
      </c>
      <c r="O4" s="18">
        <f>IFERROR(COUNTIFS(G2:G36,"TP")/(COUNTIFS(G2:G36,"TP")+COUNTIFS(G2:G36,"FN")),0)</f>
        <v/>
      </c>
    </row>
    <row r="5" ht="43.2" customHeight="1">
      <c r="A5" s="14" t="inlineStr">
        <is>
          <t>20250117_HOK Duke Strategies - Hambaken A.05.09 DEF FULLY SIGNED.pdf</t>
        </is>
      </c>
      <c r="B5" s="14" t="inlineStr">
        <is>
          <t>Unit A.05.09; kantoorruimte; huurperiode vanaf 17-02-2025 voor Duke Strategy &amp; Corporate Affairs B.V.; hospitality services inbegrepen; maximaal 4 werkplekken.</t>
        </is>
      </c>
      <c r="C5" s="15" t="inlineStr">
        <is>
          <t>Unit A.05.09; kantoorruimte; huurperiode vanaf 17-02-2025 voor Duke Strategy &amp; Corporate Affairs B.V.; hospitality services inbegrepen; maximaal 4 werkplekken.</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ht="43.2" customHeight="1">
      <c r="A6" s="14" t="inlineStr">
        <is>
          <t>20251216 Lease agreement ASPEN - signed.pdf</t>
        </is>
      </c>
      <c r="B6" s="14" t="inlineStr">
        <is>
          <t>Preliminary total m2 on the basis of Appendix 14 (price level 1 January 2027); see table, Delivery determined by NEN 2580 measurement upon Delivery. Leased by Aspen Oss B.V.</t>
        </is>
      </c>
      <c r="C6" s="15" t="inlineStr">
        <is>
          <t>Preliminary total m2 on the basis of Appendix 14 (price level 1 January 2027); see table, Delivery determined by NEN 2580 measurement upon Delivery. Leased by Aspen Oss B.V.</t>
        </is>
      </c>
      <c r="D6" s="14" t="n"/>
      <c r="E6" s="14" t="n"/>
      <c r="F6" s="14" t="n"/>
      <c r="G6" s="14" t="n"/>
      <c r="H6" s="14" t="n">
        <v>0.95</v>
      </c>
      <c r="K6" s="17" t="inlineStr">
        <is>
          <t>Accuracy % (With Not Exist)</t>
        </is>
      </c>
      <c r="L6" s="18">
        <f>IFERROR((COUNTIF(D2:D36,"TP")+COUNTIF(D2:D36,"TN"))/SUM(COUNTIF(D2:D36,{"TP","TN","FP","FN"})),0)</f>
        <v/>
      </c>
      <c r="N6" s="17" t="inlineStr">
        <is>
          <t>Accuracy % (With Not Exist)</t>
        </is>
      </c>
      <c r="O6" s="18">
        <f>IFERROR((COUNTIF(G2:G36,"TP")+COUNTIF(G2:G36,"TN"))/SUM(COUNTIF(G2:G36,{"TP","TN","FP","FN"})),0)</f>
        <v/>
      </c>
    </row>
    <row r="7" ht="28.8" customHeight="1">
      <c r="A7" s="14" t="inlineStr">
        <is>
          <t>20260220 Huurovereenkomst signed 20-02-2026.pdf</t>
        </is>
      </c>
      <c r="B7" s="14" t="inlineStr">
        <is>
          <t>Per lease: 'Kantoor: 139 m2' on 1st floor L-Wing, rooms L-137 t/m L-140. Premises address: Graaf Engelbertlaan 75, Breda.</t>
        </is>
      </c>
      <c r="C7" s="15" t="inlineStr">
        <is>
          <t>Per lease: 'Kantoor: 139 m2' on 1st floor L-Wing, rooms L-137 t/m L-140. Premises address: Graaf Engelbertlaan 75, Breda.</t>
        </is>
      </c>
      <c r="D7" s="14" t="n"/>
      <c r="E7" s="14" t="n"/>
      <c r="F7" s="14" t="n"/>
      <c r="G7" s="14" t="n"/>
      <c r="H7" s="14" t="n">
        <v>0.95</v>
      </c>
      <c r="K7" s="17" t="inlineStr">
        <is>
          <t>Total Docs Tested</t>
        </is>
      </c>
      <c r="L7" s="19">
        <f>COUNTA(A2:A36)</f>
        <v/>
      </c>
      <c r="N7" s="17" t="inlineStr">
        <is>
          <t>Total Docs Tested</t>
        </is>
      </c>
      <c r="O7" s="19">
        <f>COUNTA(A2:A36)</f>
        <v/>
      </c>
    </row>
    <row r="8" ht="28.8" customHeight="1">
      <c r="A8" s="14" t="inlineStr">
        <is>
          <t>20260629 HOK ADHDcentraal BV (1).pdf</t>
        </is>
      </c>
      <c r="B8" s="14" t="inlineStr">
        <is>
          <t>Kantoorruimte ADHDcentraal B.V. unit A05.10, A05.02, en A05.01 vijfde verdieping; huurprijs per jaar excl. BTW zoals huurcontract hoofdblad.</t>
        </is>
      </c>
      <c r="C8" s="15" t="inlineStr">
        <is>
          <t>Kantoorruimte ADHDcentraal B.V. unit A05.10, A05.02, en A05.01 vijfde verdieping; huurprijs per jaar excl. BTW zoals huurcontract hoofdblad.</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ht="28.8" customHeight="1">
      <c r="A9" s="14" t="inlineStr">
        <is>
          <t>20260807_Happy_Village_B.V._Lease_Maasstadweg_tekenversie_incl._bijlagen en-GB.pdf</t>
        </is>
      </c>
      <c r="B9" s="14" t="inlineStr">
        <is>
          <t>Unit 06.01 (Maasstadweg 2), 6th floor, NEN 2580 basis, commercial premises, Happy Village B.V.</t>
        </is>
      </c>
      <c r="C9" s="15" t="inlineStr">
        <is>
          <t>Unit 06.01 (Maasstadweg 2), 6th floor, NEN 2580 basis, commercial premises, Happy Village B.V.</t>
        </is>
      </c>
      <c r="D9" s="14" t="n"/>
      <c r="E9" s="14" t="n"/>
      <c r="F9" s="14" t="n"/>
      <c r="G9" s="14" t="n"/>
      <c r="H9" s="14" t="n">
        <v>0.9695876288659794</v>
      </c>
      <c r="K9" s="17" t="inlineStr">
        <is>
          <t>No Of Docs With Response</t>
        </is>
      </c>
      <c r="L9" s="19">
        <f>COUNTIFS(C2:C36,"&lt;&gt;")</f>
        <v/>
      </c>
      <c r="N9" s="17" t="inlineStr">
        <is>
          <t>No Of Docs With Response Pg</t>
        </is>
      </c>
      <c r="O9" s="19">
        <f>COUNTIFS(F2:F36,"&lt;&gt;")</f>
        <v/>
      </c>
    </row>
    <row r="10" ht="43.2" customHeight="1">
      <c r="A10" s="14" t="inlineStr">
        <is>
          <t>20260810 HOK ClustR BV.pdf</t>
        </is>
      </c>
      <c r="B10" s="14" t="inlineStr">
        <is>
          <t>Unit: A06.01, A06.08 en A06.09, Zesde verdieping, kantoorruimte: toegestaan gebruik bureauwerkzaamheden, huurprijs per jaar exclusief BTW, op basis van VVO, conform huurovereenkomst.</t>
        </is>
      </c>
      <c r="C10" s="15" t="inlineStr">
        <is>
          <t>Unit: A06.01, A06.08 en A06.09, Zesde verdieping, kantoorruimte: toegestaan gebruik bureauwerkzaamheden, huurprijs per jaar exclusief BTW, op basis van VVO, conform huurovereenkomst.</t>
        </is>
      </c>
      <c r="D10" s="14" t="n"/>
      <c r="E10" s="14" t="n"/>
      <c r="F10" s="14" t="n"/>
      <c r="G10" s="14" t="n"/>
      <c r="H10" s="14" t="n">
        <v>0.9695876288659794</v>
      </c>
      <c r="K10" s="20" t="inlineStr">
        <is>
          <t>Highlighted rows = file(s) not in the annotation sheet; excluded from all metrics above.</t>
        </is>
      </c>
    </row>
    <row r="11" ht="43.2" customHeight="1">
      <c r="A11" s="14" t="inlineStr">
        <is>
          <t>20270801 - Getekende Allonge II Advario BV.pdf</t>
        </is>
      </c>
      <c r="B11" s="14" t="inlineStr">
        <is>
          <t>Kantoorruimte 300-304, 3e verdieping laagbouw WTC Rotterdam, verlengd vanaf 1 augustus 2027 tot 31 juli 2032; prijs inclusief indexering en exclusief servicekosten en BTW.</t>
        </is>
      </c>
      <c r="C11" s="15" t="inlineStr">
        <is>
          <t>Kantoorruimte 300-304, 3e verdieping laagbouw WTC Rotterdam, verlengd vanaf 1 augustus 2027 tot 31 juli 2032; prijs inclusief indexering en exclusief servicekosten en BTW.</t>
        </is>
      </c>
      <c r="D11" s="14" t="n"/>
      <c r="E11" s="14" t="n"/>
      <c r="F11" s="14" t="n"/>
      <c r="G11" s="14" t="n"/>
      <c r="H11" s="14" t="n">
        <v>0.95</v>
      </c>
      <c r="K11" s="17" t="inlineStr">
        <is>
          <t>Validation Rules Example</t>
        </is>
      </c>
    </row>
    <row r="12" ht="57.6" customHeight="1">
      <c r="A12" s="14" t="inlineStr">
        <is>
          <t>240119 HOVK Spoorlaan 446-448 Tilburg signed.pdf</t>
        </is>
      </c>
      <c r="B12" s="14" t="inlineStr">
        <is>
          <t>As stated in Article 1.1: bedrijfsruimten (ca. 2.645 m2 v.v.o); premises at Spoorlaan 446-448, 5038 CH Tilburg, 49 parkeerplaatsen and a fietsenstalling, rented to Gemeente Tilburg. Area for office usage; rent per Article 4.1.</t>
        </is>
      </c>
      <c r="C12" s="15" t="inlineStr">
        <is>
          <t>As stated in Article 1.1: bedrijfsruimten (ca. 2.645 m2 v.v.o); premises at Spoorlaan 446-448, 5038 CH Tilburg, 49 parkeerplaatsen and a fietsenstalling, rented to Gemeente Tilburg. Area for office usage; rent per Article 4.1.</t>
        </is>
      </c>
      <c r="D12" s="14" t="n"/>
      <c r="E12" s="14" t="n"/>
      <c r="F12" s="14" t="n"/>
      <c r="G12" s="14" t="n"/>
      <c r="H12" s="14" t="n">
        <v>0.9695876288659794</v>
      </c>
      <c r="K12" s="16" t="inlineStr">
        <is>
          <t>Manual Data</t>
        </is>
      </c>
      <c r="L12" s="16" t="inlineStr">
        <is>
          <t>Response Data</t>
        </is>
      </c>
      <c r="M12" s="16" t="inlineStr">
        <is>
          <t>Result</t>
        </is>
      </c>
    </row>
    <row r="13" ht="28.8" customHeight="1">
      <c r="A13" s="14" t="inlineStr">
        <is>
          <t>27001 Rijksvastgoedbedrijf Huurovereenkomst - __27-01-2026_9-07-56.pdf</t>
        </is>
      </c>
      <c r="B13" s="14" t="inlineStr">
        <is>
          <t>5.752 m2 kantoorruimte a EUR 103,46 / m2 yearly rent excludes servicekosten; main office area</t>
        </is>
      </c>
      <c r="C13" s="15" t="inlineStr">
        <is>
          <t>5.752 m2 kantoorruimte a EUR 103,46 / m2 yearly rent excludes servicekosten; main office area</t>
        </is>
      </c>
      <c r="D13" s="14" t="n"/>
      <c r="E13" s="14" t="n"/>
      <c r="F13" s="14" t="n"/>
      <c r="G13" s="14" t="n"/>
      <c r="H13" s="14" t="n">
        <v>0.95</v>
      </c>
      <c r="K13" t="n">
        <v>100</v>
      </c>
      <c r="L13" t="n">
        <v>100</v>
      </c>
      <c r="M13" t="inlineStr">
        <is>
          <t>TP</t>
        </is>
      </c>
    </row>
    <row r="14" ht="28.8" customHeight="1">
      <c r="A14" s="14" t="inlineStr">
        <is>
          <t>CBRE_AT_Services_ENG_-_RITUALS_CBRE signed.pdf</t>
        </is>
      </c>
      <c r="B14" s="14" t="inlineStr">
        <is>
          <t>PORTA DI ROMA, Lazio Roma, Visitor/Year: 18,530,000, Food Anchor: AUCHAN, Rank Table - Mall with Footfall &gt; 8 mln per year (2019)</t>
        </is>
      </c>
      <c r="C14" s="15" t="inlineStr">
        <is>
          <t>PORTA DI ROMA, Lazio Roma, Visitor/Year: 18,530,000, Food Anchor: AUCHAN, Rank Table - Mall with Footfall &gt; 8 mln per year (2019)</t>
        </is>
      </c>
      <c r="D14" s="14" t="n"/>
      <c r="E14" s="14" t="n"/>
      <c r="F14" s="14" t="n"/>
      <c r="G14" s="14" t="n"/>
      <c r="H14" s="14" t="n">
        <v>0.9695876288659794</v>
      </c>
      <c r="L14" t="n">
        <v>100</v>
      </c>
      <c r="M14" t="inlineStr">
        <is>
          <t>FP</t>
        </is>
      </c>
    </row>
    <row r="15" ht="28.8" customHeight="1">
      <c r="A15" s="14" t="inlineStr">
        <is>
          <t>CBRE_Engagement_Letter_Alnylam_20260525_CLEAN_Version_signed all.pdf</t>
        </is>
      </c>
      <c r="B15" s="14" t="inlineStr">
        <is>
          <t>Area requirement for office search, Porta Nuova Business District, Milan. No space breakdown by floor/suite. Size expressed as a range.</t>
        </is>
      </c>
      <c r="C15" s="15" t="inlineStr">
        <is>
          <t>Area requirement for office search, Porta Nuova Business District, Milan. No space breakdown by floor/suite. Size expressed as a range.</t>
        </is>
      </c>
      <c r="D15" s="14" t="n"/>
      <c r="E15" s="14" t="n"/>
      <c r="F15" s="14" t="n"/>
      <c r="G15" s="14" t="n"/>
      <c r="H15" s="14" t="n">
        <v>0.9647668393782383</v>
      </c>
      <c r="K15" t="n">
        <v>100</v>
      </c>
      <c r="L15" t="n">
        <v>200</v>
      </c>
      <c r="M15" t="inlineStr">
        <is>
          <t>FP</t>
        </is>
      </c>
    </row>
    <row r="16" ht="72" customHeight="1">
      <c r="A16" s="14" t="inlineStr">
        <is>
          <t>COMPL DEF Huurovereenkomst - Skybox - Pepperl+Fuchs - 20260204.pdf</t>
        </is>
      </c>
      <c r="B16" s="14" t="inlineStr">
        <is>
          <t>Hambakenwetering 5, 's-Hertogenbosch; ca. 370 m2 v.v.o. kantoorruimte gelegen op de begane grond of de eerste verdieping; huurder Pepperl + Fuchs B.V.; 10 parkeerrechten niet inbegrepen in area size; exact metrage te bepalen door erkend meetbureau bij splitsing en oplevering.</t>
        </is>
      </c>
      <c r="C16" s="15" t="inlineStr">
        <is>
          <t>Hambakenwetering 5, 's-Hertogenbosch; ca. 370 m2 v.v.o. kantoorruimte gelegen op de begane grond of de eerste verdieping; huurder Pepperl + Fuchs B.V.; 10 parkeerrechten niet inbegrepen in area size; exact metrage te bepalen door erkend meetbureau bij splitsing en oplevering.</t>
        </is>
      </c>
      <c r="D16" s="14" t="n"/>
      <c r="E16" s="14" t="n"/>
      <c r="F16" s="14" t="n"/>
      <c r="G16" s="14" t="n"/>
      <c r="H16" s="14" t="n">
        <v>0.95</v>
      </c>
      <c r="K16" t="n">
        <v>100</v>
      </c>
      <c r="M16" t="inlineStr">
        <is>
          <t>FN</t>
        </is>
      </c>
    </row>
    <row r="17" ht="28.8" customHeight="1">
      <c r="A17" s="14" t="inlineStr">
        <is>
          <t>COMPL Huurovereenkomst - Stichting CCE - Kantoorgebouw Metzpoint I Dr. Holtroplaan - Fully Signed.pdf</t>
        </is>
      </c>
      <c r="B17" s="14" t="inlineStr">
        <is>
          <t>Unit 0.1 per NEN 2580, kantoorruimte, begane grond, inclusief aandeel algemene ruimte.</t>
        </is>
      </c>
      <c r="C17" s="15" t="inlineStr">
        <is>
          <t>Unit 0.1 per NEN 2580, kantoorruimte, begane grond, inclusief aandeel algemene ruimte.</t>
        </is>
      </c>
      <c r="D17" s="14" t="n"/>
      <c r="E17" s="14" t="n"/>
      <c r="F17" s="14" t="n"/>
      <c r="G17" s="14" t="n"/>
      <c r="H17" s="14" t="n">
        <v>0.9695876288659794</v>
      </c>
      <c r="M17" t="inlineStr">
        <is>
          <t>TN</t>
        </is>
      </c>
    </row>
    <row r="18" ht="43.2" customHeight="1">
      <c r="A18" s="14" t="inlineStr">
        <is>
          <t>COMPL Regel Partners - HOVK - Luchthavenweg 81 - 20260728.pdf</t>
        </is>
      </c>
      <c r="B18" s="14" t="inlineStr">
        <is>
          <t>unit 2.02, 2de verdieping (NEN 2580 VVO), tenant: Regel Partners B.V., referring to summary and NEN 2580 measurement report MR-2022-357A; aandel in de algemene ruimten is included separately.</t>
        </is>
      </c>
      <c r="C18" s="15" t="inlineStr">
        <is>
          <t>unit 2.02, 2de verdieping (NEN 2580 VVO), tenant: Regel Partners B.V., referring to summary and NEN 2580 measurement report MR-2022-357A; aandel in de algemene ruimten is included separately.</t>
        </is>
      </c>
      <c r="D18" s="14" t="n"/>
      <c r="E18" s="14" t="n"/>
      <c r="F18" s="14" t="n"/>
      <c r="G18" s="14" t="n"/>
      <c r="H18" s="14" t="n">
        <v>0.9695876288659794</v>
      </c>
    </row>
    <row r="19" ht="43.2" customHeight="1">
      <c r="A19" s="14" t="inlineStr">
        <is>
          <t>COMPL_-_Onderhuurovereenkomst_Zelfstroom_B.V._-_50five_B.V._-_kantoorgebouw_Riva_-_05032026.pdf</t>
        </is>
      </c>
      <c r="B19" s="14" t="inlineStr">
        <is>
          <t>8e verdieping; inclusief toeslag algemene ruimten, Statenlaan 2-20 's-Hertogenbosch, 50five B.V. onderhuurovereenkomst, met 15 parkeerplaatsen. NEN 2580 meetcertificaat.</t>
        </is>
      </c>
      <c r="C19" s="15" t="inlineStr">
        <is>
          <t>8e verdieping; inclusief toeslag algemene ruimten, Statenlaan 2-20 's-Hertogenbosch, 50five B.V. onderhuurovereenkomst, met 15 parkeerplaatsen. NEN 2580 meetcertificaat.</t>
        </is>
      </c>
      <c r="D19" s="14" t="n"/>
      <c r="E19" s="14" t="n"/>
      <c r="F19" s="14" t="n"/>
      <c r="G19" s="14" t="n"/>
      <c r="H19" s="14" t="n">
        <v>0.9695876288659794</v>
      </c>
      <c r="K19" s="17" t="inlineStr">
        <is>
          <t>Field:</t>
        </is>
      </c>
      <c r="L19" t="inlineStr">
        <is>
          <t>measurements / property_measurement_notes</t>
        </is>
      </c>
    </row>
    <row r="20" ht="43.2" customHeight="1">
      <c r="A20" s="14" t="inlineStr">
        <is>
          <t>Den Bosch, Ruwekampweg 4, HOVK getekend.pdf</t>
        </is>
      </c>
      <c r="B20" s="14" t="inlineStr">
        <is>
          <t>Ruwekampweg 4, 's-Hertogenbosch; kadastraal: sectie F, nummer 2398; bedrijfsruimte; explicit source: 'circa 1.430 m2 bedrijfsruimte' (lease clause 1.1)</t>
        </is>
      </c>
      <c r="C20" s="15" t="inlineStr">
        <is>
          <t>Ruwekampweg 4, 's-Hertogenbosch; kadastraal: sectie F, nummer 2398; bedrijfsruimte; explicit source: 'circa 1.430 m2 bedrijfsruimte' (lease clause 1.1)</t>
        </is>
      </c>
      <c r="D20" s="14" t="n"/>
      <c r="E20" s="14" t="n"/>
      <c r="F20" s="14" t="n"/>
      <c r="G20" s="14" t="n"/>
      <c r="H20" s="14" t="n">
        <v>0.9695876288659794</v>
      </c>
    </row>
    <row r="21" ht="43.2" customHeight="1">
      <c r="A21" s="14" t="inlineStr">
        <is>
          <t>FULLY SIGNED - COMPL Huurovereenkomst - Heijmans - Hugo de Grootlaan 23 's-Hertogenbosch V2 30-9-2025.pdf</t>
        </is>
      </c>
      <c r="B21" s="14" t="inlineStr">
        <is>
          <t>Ca. 400 m2 v.v.o. kantoorruimte inclusief toeslag algemene ruimten, begane grond, Hugo de Grootlaan 23, oplevering verhuurbare vloeroppervlakte volgens NEN 2580.</t>
        </is>
      </c>
      <c r="C21" s="15" t="inlineStr">
        <is>
          <t>Ca. 400 m2 v.v.o. kantoorruimte inclusief toeslag algemene ruimten, begane grond, Hugo de Grootlaan 23, oplevering verhuurbare vloeroppervlakte volgens NEN 2580.</t>
        </is>
      </c>
      <c r="D21" s="14" t="n"/>
      <c r="E21" s="14" t="n"/>
      <c r="F21" s="14" t="n"/>
      <c r="G21" s="14" t="n"/>
      <c r="H21" s="14" t="n">
        <v>0.95</v>
      </c>
    </row>
    <row r="22" ht="43.2" customHeight="1">
      <c r="A22" s="14" t="inlineStr">
        <is>
          <t>FULLY SIGNED - DEF_COMPL_Huurovereenkomst_Robo_Charge_-_Campus_Offices_-_20260220.pdf</t>
        </is>
      </c>
      <c r="B22" s="14" t="inlineStr">
        <is>
          <t>Tweede verdieping, vleugel C; inclusief pro rato deel algemene ruimten; met 5 parkeerplaatsen op eigen terrein. Oppervlakte gemeten volgens NEN 2580. Huurprijs exclusief servicekosten en hospitality kosten.</t>
        </is>
      </c>
      <c r="C22" s="15" t="inlineStr">
        <is>
          <t>Tweede verdieping, vleugel C; inclusief pro rato deel algemene ruimten; met 5 parkeerplaatsen op eigen terrein. Oppervlakte gemeten volgens NEN 2580. Huurprijs exclusief servicekosten en hospitality kosten.</t>
        </is>
      </c>
      <c r="D22" s="14" t="n"/>
      <c r="E22" s="14" t="n"/>
      <c r="F22" s="14" t="n"/>
      <c r="G22" s="14" t="n"/>
      <c r="H22" s="14" t="n">
        <v>0.9695876288659794</v>
      </c>
    </row>
    <row r="23" ht="28.8" customHeight="1">
      <c r="A23" s="14" t="inlineStr">
        <is>
          <t>FULLY SIGNED - Onderhuurovereenkomst Aartshertogenlaan 223, `s-Hertogenbosch - Koning Willem I College B.V. 2606202.pdf</t>
        </is>
      </c>
      <c r="B23" s="14" t="inlineStr">
        <is>
          <t>Main leased area (kantoorruimte) as described in 1.1; v.v.o. ruimte, begane grond en 1e t/m 4e verdieping.</t>
        </is>
      </c>
      <c r="C23" s="15" t="inlineStr">
        <is>
          <t>Main leased area (kantoorruimte) as described in 1.1; v.v.o. ruimte, begane grond en 1e t/m 4e verdieping.</t>
        </is>
      </c>
      <c r="D23" s="14" t="n"/>
      <c r="E23" s="14" t="n"/>
      <c r="F23" s="14" t="n"/>
      <c r="G23" s="14" t="n"/>
      <c r="H23" s="14" t="n">
        <v>0.95</v>
      </c>
    </row>
    <row r="24" ht="43.2" customHeight="1">
      <c r="A24" s="14" t="inlineStr">
        <is>
          <t>FULLY SIGNED COMPL_DEF_Huurovereenkomst_Bond_Bergschot_Breda.pdf</t>
        </is>
      </c>
      <c r="B24" s="14" t="inlineStr">
        <is>
          <t>3rd floor of bouwdeel B; leased premises for DEME Offshore NL B.V. per main lease clause and NEN2580; includes allocation of general spaces as per NEN2580 meetcertificaat and lease summary</t>
        </is>
      </c>
      <c r="C24" s="15" t="inlineStr">
        <is>
          <t>3rd floor of bouwdeel B; leased premises for DEME Offshore NL B.V. per main lease clause and NEN2580; includes allocation of general spaces as per NEN2580 meetcertificaat and lease summary</t>
        </is>
      </c>
      <c r="D24" s="14" t="n"/>
      <c r="E24" s="14" t="n"/>
      <c r="F24" s="14" t="n"/>
      <c r="G24" s="14" t="n"/>
      <c r="H24" s="14" t="n">
        <v>0.95</v>
      </c>
    </row>
    <row r="25" ht="43.2" customHeight="1">
      <c r="A25" s="14" t="inlineStr">
        <is>
          <t>FullySigned_Allonge_II_Virtual_Vaults_Nederland.pdf</t>
        </is>
      </c>
      <c r="B25" s="14" t="inlineStr">
        <is>
          <t>Begane grond (ground floor) Office Area for tenant; per main lease and NEN 2580 meetrapport. Address: K.P. van der Mandelelaan 60, Rotterdam.</t>
        </is>
      </c>
      <c r="C25" s="15" t="inlineStr">
        <is>
          <t>Begane grond (ground floor) Office Area for tenant; per main lease and NEN 2580 meetrapport. Address: K.P. van der Mandelelaan 60, Rotterdam.</t>
        </is>
      </c>
      <c r="D25" s="14" t="n"/>
      <c r="E25" s="14" t="n"/>
      <c r="F25" s="14" t="n"/>
      <c r="G25" s="14" t="n"/>
      <c r="H25" s="14" t="n">
        <v>0.95</v>
      </c>
    </row>
    <row r="26" ht="43.2" customHeight="1">
      <c r="A26" s="14" t="inlineStr">
        <is>
          <t>FullySigned_Lease_Agreement_Neste_EDGE_Coolsingel.pdf</t>
        </is>
      </c>
      <c r="B26" s="14" t="inlineStr">
        <is>
          <t>Sixth floor (unit 6.1); labeled in lease as 'approximately 1.056 m2 LFA on the sixth (6th) floor'; initial rent at price level 1 June 2026. Clauses 1.1, 4.1.</t>
        </is>
      </c>
      <c r="C26" s="15" t="inlineStr">
        <is>
          <t>Sixth floor (unit 6.1); labeled in lease as 'approximately 1.056 m2 LFA on the sixth (6th) floor'; initial rent at price level 1 June 2026. Clauses 1.1, 4.1.</t>
        </is>
      </c>
      <c r="D26" s="14" t="n"/>
      <c r="E26" s="14" t="n"/>
      <c r="F26" s="14" t="n"/>
      <c r="G26" s="14" t="n"/>
      <c r="H26" s="14" t="n">
        <v>0.9695876288659794</v>
      </c>
    </row>
    <row r="27" ht="43.2" customHeight="1">
      <c r="A27" s="14" t="inlineStr">
        <is>
          <t>HOK Waalhaven Group (signed).pdf</t>
        </is>
      </c>
      <c r="B27" s="14" t="inlineStr">
        <is>
          <t>unit 5.1, 5e verdieping Waalhaven Oostzijde 85 te Rotterdam; measurement per NEN 2580 report and lease, annual rent includes parking.</t>
        </is>
      </c>
      <c r="C27" s="15" t="inlineStr">
        <is>
          <t>unit 5.1, 5e verdieping Waalhaven Oostzijde 85 te Rotterdam; measurement per NEN 2580 report and lease, annual rent includes parking.</t>
        </is>
      </c>
      <c r="D27" s="14" t="n"/>
      <c r="E27" s="14" t="n"/>
      <c r="F27" s="14" t="n"/>
      <c r="G27" s="14" t="n"/>
      <c r="H27" s="14" t="n">
        <v>0.95</v>
      </c>
    </row>
    <row r="28" ht="43.2" customHeight="1">
      <c r="A28" s="14" t="inlineStr">
        <is>
          <t>Hovk Avans  (3e+4e+5e verd.) 20140425.pdf</t>
        </is>
      </c>
      <c r="B28" s="14" t="inlineStr">
        <is>
          <t>Leased area on the third, fourth, and fifth floor (kantoorgebouw 'De Hooge Donken'), including 43 parking places; for Stichting Avans; as per original lease and Bijzondere Bepalingen.</t>
        </is>
      </c>
      <c r="C28" s="15" t="inlineStr">
        <is>
          <t>Leased area on the third, fourth, and fifth floor (kantoorgebouw 'De Hooge Donken'), including 43 parking places; for Stichting Avans; as per original lease and Bijzondere Bepalingen.</t>
        </is>
      </c>
      <c r="D28" s="14" t="n"/>
      <c r="E28" s="14" t="n"/>
      <c r="F28" s="14" t="n"/>
      <c r="G28" s="14" t="n"/>
      <c r="H28" s="14" t="n">
        <v>0.95</v>
      </c>
    </row>
    <row r="29" ht="28.8" customHeight="1">
      <c r="A29" s="14" t="inlineStr">
        <is>
          <t>HOVK Power4People 2025.pdf</t>
        </is>
      </c>
      <c r="B29" s="14" t="inlineStr">
        <is>
          <t>Breda - 1.04: Compleet ingericht kantoor, bureau, bureaustoel en kast. Huurprijs inclusief kortingen, exclusief btw.</t>
        </is>
      </c>
      <c r="C29" s="15" t="inlineStr">
        <is>
          <t>Breda - 1.04: Compleet ingericht kantoor, bureau, bureaustoel en kast. Huurprijs inclusief kortingen, exclusief btw.</t>
        </is>
      </c>
      <c r="D29" s="14" t="n"/>
      <c r="E29" s="14" t="n"/>
      <c r="F29" s="14" t="n"/>
      <c r="G29" s="14" t="n"/>
      <c r="H29" s="14" t="n">
        <v>0.9695876288659794</v>
      </c>
    </row>
    <row r="30" ht="57.6" customHeight="1">
      <c r="A30" s="14" t="inlineStr">
        <is>
          <t>Huurovereenkomst (Semmie Group B.V.) - Wilhelminasingel 19, Breda.pdf</t>
        </is>
      </c>
      <c r="B30" s="14" t="inlineStr">
        <is>
          <t>Wilhelminasingel 19 te Breda, 3e verdieping; includes 2 parkeerplaatsen; Premises designated for use as kantoorruimte (office) and parking; Stated as 'circa 61,4 m2 v.v.o.' in huurovereenkomst; Rent includes servicekosten &amp; BTW-compensatie</t>
        </is>
      </c>
      <c r="C30" s="15" t="inlineStr">
        <is>
          <t>Wilhelminasingel 19 te Breda, 3e verdieping; includes 2 parkeerplaatsen; Premises designated for use as kantoorruimte (office) and parking; Stated as 'circa 61,4 m2 v.v.o.' in huurovereenkomst; Rent includes servicekosten &amp; BTW-compensatie</t>
        </is>
      </c>
      <c r="D30" s="14" t="n"/>
      <c r="E30" s="14" t="n"/>
      <c r="F30" s="14" t="n"/>
      <c r="G30" s="14" t="n"/>
      <c r="H30" s="14" t="n">
        <v>0.95</v>
      </c>
    </row>
    <row r="31" ht="28.8" customHeight="1">
      <c r="A31" s="14" t="inlineStr">
        <is>
          <t>Huurovereenkomst - proces-verbaal van oplevering - sleuteloverdracht - Kennedyplein 101 - getekend.pdf</t>
        </is>
      </c>
      <c r="B31" s="14" t="inlineStr">
        <is>
          <t>6e verdieping, Kennedyplein 101, Eindhoven; NEN 2580; directly identified as tenant premises.</t>
        </is>
      </c>
      <c r="C31" s="15" t="inlineStr">
        <is>
          <t>6e verdieping, Kennedyplein 101, Eindhoven; NEN 2580; directly identified as tenant premises.</t>
        </is>
      </c>
      <c r="D31" s="14" t="n"/>
      <c r="E31" s="14" t="n"/>
      <c r="F31" s="14" t="n"/>
      <c r="G31" s="14" t="n"/>
      <c r="H31" s="14" t="n">
        <v>0.9695876288659794</v>
      </c>
    </row>
    <row r="32" ht="28.8" customHeight="1">
      <c r="A32" s="14" t="inlineStr">
        <is>
          <t>Huurovereenkomst Bijster 5 te Breda getekend.pdf</t>
        </is>
      </c>
      <c r="B32" s="14" t="inlineStr">
        <is>
          <t>ca. 435 m2 kantoorruimte op de tweede verdieping, Bijster 5 te Breda, inclusief tien parkeerplaatsen; huurprijs op jaarbasis, zie artikel 4.1</t>
        </is>
      </c>
      <c r="C32" s="15" t="inlineStr">
        <is>
          <t>ca. 435 m2 kantoorruimte op de tweede verdieping, Bijster 5 te Breda, inclusief tien parkeerplaatsen; huurprijs op jaarbasis, zie artikel 4.1</t>
        </is>
      </c>
      <c r="D32" s="14" t="n"/>
      <c r="E32" s="14" t="n"/>
      <c r="F32" s="14" t="n"/>
      <c r="G32" s="14" t="n"/>
      <c r="H32" s="14" t="n">
        <v>0.95</v>
      </c>
    </row>
    <row r="33" ht="57.6" customHeight="1">
      <c r="A33" s="14" t="inlineStr">
        <is>
          <t>Huurovereenkomst Catena Pand Son - Skymark (Son en Breugel - NLD).pdf</t>
        </is>
      </c>
      <c r="B33" s="14" t="inlineStr">
        <is>
          <t>Premises described as kantoor-, werkplaats- en archiefruimte at Science Park 6040-6042-6044 te Son en Breugel. Annual rent applies to entire leased premises including office, workshop, archive, and warehouse components.</t>
        </is>
      </c>
      <c r="C33" s="15" t="inlineStr">
        <is>
          <t>Premises described as kantoor-, werkplaats- en archiefruimte at Science Park 6040-6042-6044 te Son en Breugel. Annual rent applies to entire leased premises including office, workshop, archive, and warehouse components.</t>
        </is>
      </c>
      <c r="D33" s="14" t="n"/>
      <c r="E33" s="14" t="n"/>
      <c r="F33" s="14" t="n"/>
      <c r="G33" s="14" t="n"/>
      <c r="H33" s="14" t="n">
        <v>0.9695876288659794</v>
      </c>
    </row>
    <row r="34" ht="28.8" customHeight="1">
      <c r="A34" s="14" t="inlineStr">
        <is>
          <t>Huurovereenkomst KPN Opstelpunt Parallelweg 64 20130313.pdf</t>
        </is>
      </c>
      <c r="B34" s="14" t="inlineStr">
        <is>
          <t>Drie Antennedragers met Antennesystemen bestaande uit maximaal 9 antennes; Opstelpuntnummer 6714; zie artikel 1/ondertekend contract</t>
        </is>
      </c>
      <c r="C34" s="15" t="inlineStr">
        <is>
          <t>Drie Antennedragers met Antennesystemen bestaande uit maximaal 9 antennes; Opstelpuntnummer 6714; zie artikel 1/ondertekend contract</t>
        </is>
      </c>
      <c r="D34" s="14" t="n"/>
      <c r="E34" s="14" t="n"/>
      <c r="F34" s="14" t="n"/>
      <c r="G34" s="14" t="n"/>
      <c r="H34" s="14" t="n">
        <v>0.95</v>
      </c>
    </row>
    <row r="35" ht="57.6" customHeight="1">
      <c r="A35" s="14" t="inlineStr">
        <is>
          <t>Huurovereenkomst PBG Parallelweg 64 (beg.grond) 20121008.pdf</t>
        </is>
      </c>
      <c r="B35" s="14" t="inlineStr">
        <is>
          <t>Begane grond kantoorruimte, inclusief algemene ruimten, kantoorgebouw De Hooge Donken, Parallelweg 64, 's-Hertogenbosch, leased to Vastgoed Beheer PBG B.V./Parnassia Bavo Groep B.V. as of 1 October 2012</t>
        </is>
      </c>
      <c r="C35" s="15" t="inlineStr">
        <is>
          <t>Begane grond kantoorruimte, inclusief algemene ruimten, kantoorgebouw De Hooge Donken, Parallelweg 64, 's-Hertogenbosch, leased to Vastgoed Beheer PBG B.V./Parnassia Bavo Groep B.V. as of 1 October 2012</t>
        </is>
      </c>
      <c r="D35" s="14" t="n"/>
      <c r="E35" s="14" t="n"/>
      <c r="F35" s="14" t="n"/>
      <c r="G35" s="14" t="n"/>
      <c r="H35" s="14" t="n">
        <v>0.9647668393782383</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10</t>
        </is>
      </c>
      <c r="C2" s="15" t="inlineStr">
        <is>
          <t>10</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558</t>
        </is>
      </c>
      <c r="C3" s="15" t="inlineStr">
        <is>
          <t>558</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2253</t>
        </is>
      </c>
      <c r="C4" s="15" t="inlineStr">
        <is>
          <t>2253</t>
        </is>
      </c>
      <c r="D4" s="14" t="n"/>
      <c r="E4" s="14" t="n"/>
      <c r="F4" s="14" t="n"/>
      <c r="G4" s="14" t="n"/>
      <c r="H4" s="14" t="n">
        <v>0.95</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31.5</t>
        </is>
      </c>
      <c r="C5" s="15" t="inlineStr">
        <is>
          <t>31.5</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829</t>
        </is>
      </c>
      <c r="C6" s="15" t="inlineStr">
        <is>
          <t>829</t>
        </is>
      </c>
      <c r="D6" s="14" t="n"/>
      <c r="E6" s="14" t="n"/>
      <c r="F6" s="14" t="n"/>
      <c r="G6" s="14" t="n"/>
      <c r="H6" s="14" t="n">
        <v>0.95</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139</t>
        </is>
      </c>
      <c r="C7" s="15" t="inlineStr">
        <is>
          <t>139</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inlineStr">
        <is>
          <t>218.7</t>
        </is>
      </c>
      <c r="C8" s="15" t="inlineStr">
        <is>
          <t>218.7</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1226.0</t>
        </is>
      </c>
      <c r="C9" s="15" t="inlineStr">
        <is>
          <t>1226.0</t>
        </is>
      </c>
      <c r="D9" s="14" t="n"/>
      <c r="E9" s="14" t="n"/>
      <c r="F9" s="14" t="n"/>
      <c r="G9" s="14" t="n"/>
      <c r="H9" s="14" t="n">
        <v>0.9695876288659794</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154.4</t>
        </is>
      </c>
      <c r="C10" s="15" t="inlineStr">
        <is>
          <t>154.4</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inlineStr">
        <is>
          <t>357.74</t>
        </is>
      </c>
      <c r="C11" s="15" t="inlineStr">
        <is>
          <t>357.74</t>
        </is>
      </c>
      <c r="D11" s="14" t="n"/>
      <c r="E11" s="14" t="n"/>
      <c r="F11" s="14" t="n"/>
      <c r="G11" s="14" t="n"/>
      <c r="H11" s="14" t="n">
        <v>0.95</v>
      </c>
      <c r="K11" s="17" t="inlineStr">
        <is>
          <t>Validation Rules Example</t>
        </is>
      </c>
    </row>
    <row r="12">
      <c r="A12" s="14" t="inlineStr">
        <is>
          <t>240119 HOVK Spoorlaan 446-448 Tilburg signed.pdf</t>
        </is>
      </c>
      <c r="B12" s="14" t="inlineStr">
        <is>
          <t>2645</t>
        </is>
      </c>
      <c r="C12" s="15" t="inlineStr">
        <is>
          <t>2645</t>
        </is>
      </c>
      <c r="D12" s="14" t="n"/>
      <c r="E12" s="14" t="n"/>
      <c r="F12" s="14" t="n"/>
      <c r="G12" s="14" t="n"/>
      <c r="H12" s="14" t="n">
        <v>0.9695876288659794</v>
      </c>
      <c r="K12" s="16" t="inlineStr">
        <is>
          <t>Manual Data</t>
        </is>
      </c>
      <c r="L12" s="16" t="inlineStr">
        <is>
          <t>Response Data</t>
        </is>
      </c>
      <c r="M12" s="16" t="inlineStr">
        <is>
          <t>Result</t>
        </is>
      </c>
    </row>
    <row r="13">
      <c r="A13" s="14" t="inlineStr">
        <is>
          <t>27001 Rijksvastgoedbedrijf Huurovereenkomst - __27-01-2026_9-07-56.pdf</t>
        </is>
      </c>
      <c r="B13" s="14" t="inlineStr">
        <is>
          <t>5752</t>
        </is>
      </c>
      <c r="C13" s="15" t="inlineStr">
        <is>
          <t>5752</t>
        </is>
      </c>
      <c r="D13" s="14" t="n"/>
      <c r="E13" s="14" t="n"/>
      <c r="F13" s="14" t="n"/>
      <c r="G13" s="14" t="n"/>
      <c r="H13" s="14" t="n">
        <v>0.95</v>
      </c>
      <c r="K13" t="n">
        <v>100</v>
      </c>
      <c r="L13" t="n">
        <v>100</v>
      </c>
      <c r="M13" t="inlineStr">
        <is>
          <t>TP</t>
        </is>
      </c>
    </row>
    <row r="14">
      <c r="A14" s="14" t="inlineStr">
        <is>
          <t>CBRE_AT_Services_ENG_-_RITUALS_CBRE signed.pdf</t>
        </is>
      </c>
      <c r="B14" s="14" t="inlineStr">
        <is>
          <t>13750</t>
        </is>
      </c>
      <c r="C14" s="15" t="inlineStr">
        <is>
          <t>13750</t>
        </is>
      </c>
      <c r="D14" s="14" t="n"/>
      <c r="E14" s="14" t="n"/>
      <c r="F14" s="14" t="n"/>
      <c r="G14" s="14" t="n"/>
      <c r="H14" s="14" t="n">
        <v>0.9695876288659794</v>
      </c>
      <c r="L14" t="n">
        <v>100</v>
      </c>
      <c r="M14" t="inlineStr">
        <is>
          <t>FP</t>
        </is>
      </c>
    </row>
    <row r="15">
      <c r="A15" s="14" t="inlineStr">
        <is>
          <t>CBRE_Engagement_Letter_Alnylam_20260525_CLEAN_Version_signed all.pdf</t>
        </is>
      </c>
      <c r="B15" s="14" t="inlineStr">
        <is>
          <t>800-900</t>
        </is>
      </c>
      <c r="C15" s="15" t="inlineStr">
        <is>
          <t>800-900</t>
        </is>
      </c>
      <c r="D15" s="14" t="n"/>
      <c r="E15" s="14" t="n"/>
      <c r="F15" s="14" t="n"/>
      <c r="G15" s="14" t="n"/>
      <c r="H15" s="14" t="n">
        <v>0.9647668393782383</v>
      </c>
      <c r="K15" t="n">
        <v>100</v>
      </c>
      <c r="L15" t="n">
        <v>200</v>
      </c>
      <c r="M15" t="inlineStr">
        <is>
          <t>FP</t>
        </is>
      </c>
    </row>
    <row r="16">
      <c r="A16" s="14" t="inlineStr">
        <is>
          <t>COMPL DEF Huurovereenkomst - Skybox - Pepperl+Fuchs - 20260204.pdf</t>
        </is>
      </c>
      <c r="B16" s="14" t="inlineStr">
        <is>
          <t>370</t>
        </is>
      </c>
      <c r="C16" s="15" t="inlineStr">
        <is>
          <t>370</t>
        </is>
      </c>
      <c r="D16" s="14" t="n"/>
      <c r="E16" s="14" t="n"/>
      <c r="F16" s="14" t="n"/>
      <c r="G16" s="14" t="n"/>
      <c r="H16" s="14" t="n">
        <v>0.95</v>
      </c>
      <c r="K16" t="n">
        <v>100</v>
      </c>
      <c r="M16" t="inlineStr">
        <is>
          <t>FN</t>
        </is>
      </c>
    </row>
    <row r="17">
      <c r="A17" s="14" t="inlineStr">
        <is>
          <t>COMPL Huurovereenkomst - Stichting CCE - Kantoorgebouw Metzpoint I Dr. Holtroplaan - Fully Signed.pdf</t>
        </is>
      </c>
      <c r="B17" s="14" t="inlineStr">
        <is>
          <t>259</t>
        </is>
      </c>
      <c r="C17" s="15" t="inlineStr">
        <is>
          <t>259</t>
        </is>
      </c>
      <c r="D17" s="14" t="n"/>
      <c r="E17" s="14" t="n"/>
      <c r="F17" s="14" t="n"/>
      <c r="G17" s="14" t="n"/>
      <c r="H17" s="14" t="n">
        <v>0.9695876288659794</v>
      </c>
      <c r="M17" t="inlineStr">
        <is>
          <t>TN</t>
        </is>
      </c>
    </row>
    <row r="18">
      <c r="A18" s="14" t="inlineStr">
        <is>
          <t>COMPL Regel Partners - HOVK - Luchthavenweg 81 - 20260728.pdf</t>
        </is>
      </c>
      <c r="B18" s="14" t="inlineStr">
        <is>
          <t>331.94</t>
        </is>
      </c>
      <c r="C18" s="15" t="inlineStr">
        <is>
          <t>331.94</t>
        </is>
      </c>
      <c r="D18" s="14" t="n"/>
      <c r="E18" s="14" t="n"/>
      <c r="F18" s="14" t="n"/>
      <c r="G18" s="14" t="n"/>
      <c r="H18" s="14" t="n">
        <v>0.9695876288659794</v>
      </c>
    </row>
    <row r="19">
      <c r="A19" s="14" t="inlineStr">
        <is>
          <t>COMPL_-_Onderhuurovereenkomst_Zelfstroom_B.V._-_50five_B.V._-_kantoorgebouw_Riva_-_05032026.pdf</t>
        </is>
      </c>
      <c r="B19" s="14" t="inlineStr">
        <is>
          <t>1013.23</t>
        </is>
      </c>
      <c r="C19" s="15" t="inlineStr">
        <is>
          <t>1013.23</t>
        </is>
      </c>
      <c r="D19" s="14" t="n"/>
      <c r="E19" s="14" t="n"/>
      <c r="F19" s="14" t="n"/>
      <c r="G19" s="14" t="n"/>
      <c r="H19" s="14" t="n">
        <v>0.9695876288659794</v>
      </c>
      <c r="K19" s="17" t="inlineStr">
        <is>
          <t>Field:</t>
        </is>
      </c>
      <c r="L19" t="inlineStr">
        <is>
          <t>measurements / property_measurement_size</t>
        </is>
      </c>
    </row>
    <row r="20">
      <c r="A20" s="14" t="inlineStr">
        <is>
          <t>Den Bosch, Ruwekampweg 4, HOVK getekend.pdf</t>
        </is>
      </c>
      <c r="B20" s="14" t="inlineStr">
        <is>
          <t>1430</t>
        </is>
      </c>
      <c r="C20" s="15" t="inlineStr">
        <is>
          <t>1430</t>
        </is>
      </c>
      <c r="D20" s="14" t="n"/>
      <c r="E20" s="14" t="n"/>
      <c r="F20" s="14" t="n"/>
      <c r="G20" s="14" t="n"/>
      <c r="H20" s="14" t="n">
        <v>0.9695876288659794</v>
      </c>
    </row>
    <row r="21">
      <c r="A21" s="14" t="inlineStr">
        <is>
          <t>FULLY SIGNED - COMPL Huurovereenkomst - Heijmans - Hugo de Grootlaan 23 's-Hertogenbosch V2 30-9-2025.pdf</t>
        </is>
      </c>
      <c r="B21" s="14" t="inlineStr">
        <is>
          <t>400</t>
        </is>
      </c>
      <c r="C21" s="15" t="inlineStr">
        <is>
          <t>400</t>
        </is>
      </c>
      <c r="D21" s="14" t="n"/>
      <c r="E21" s="14" t="n"/>
      <c r="F21" s="14" t="n"/>
      <c r="G21" s="14" t="n"/>
      <c r="H21" s="14" t="n">
        <v>0.95</v>
      </c>
    </row>
    <row r="22">
      <c r="A22" s="14" t="inlineStr">
        <is>
          <t>FULLY SIGNED - DEF_COMPL_Huurovereenkomst_Robo_Charge_-_Campus_Offices_-_20260220.pdf</t>
        </is>
      </c>
      <c r="B22" s="14" t="inlineStr">
        <is>
          <t>357.2</t>
        </is>
      </c>
      <c r="C22" s="15" t="inlineStr">
        <is>
          <t>357.2</t>
        </is>
      </c>
      <c r="D22" s="14" t="n"/>
      <c r="E22" s="14" t="n"/>
      <c r="F22" s="14" t="n"/>
      <c r="G22" s="14" t="n"/>
      <c r="H22" s="14" t="n">
        <v>0.9695876288659794</v>
      </c>
    </row>
    <row r="23">
      <c r="A23" s="14" t="inlineStr">
        <is>
          <t>FULLY SIGNED - Onderhuurovereenkomst Aartshertogenlaan 223, `s-Hertogenbosch - Koning Willem I College B.V. 2606202.pdf</t>
        </is>
      </c>
      <c r="B23" s="14" t="inlineStr">
        <is>
          <t>1134</t>
        </is>
      </c>
      <c r="C23" s="15" t="inlineStr">
        <is>
          <t>1134</t>
        </is>
      </c>
      <c r="D23" s="14" t="n"/>
      <c r="E23" s="14" t="n"/>
      <c r="F23" s="14" t="n"/>
      <c r="G23" s="14" t="n"/>
      <c r="H23" s="14" t="n">
        <v>0.95</v>
      </c>
    </row>
    <row r="24">
      <c r="A24" s="14" t="inlineStr">
        <is>
          <t>FULLY SIGNED COMPL_DEF_Huurovereenkomst_Bond_Bergschot_Breda.pdf</t>
        </is>
      </c>
      <c r="B24" s="14" t="inlineStr">
        <is>
          <t>1001.08</t>
        </is>
      </c>
      <c r="C24" s="15" t="inlineStr">
        <is>
          <t>1001.08</t>
        </is>
      </c>
      <c r="D24" s="14" t="n"/>
      <c r="E24" s="14" t="n"/>
      <c r="F24" s="14" t="n"/>
      <c r="G24" s="14" t="n"/>
      <c r="H24" s="14" t="n">
        <v>0.95</v>
      </c>
    </row>
    <row r="25">
      <c r="A25" s="14" t="inlineStr">
        <is>
          <t>FullySigned_Allonge_II_Virtual_Vaults_Nederland.pdf</t>
        </is>
      </c>
      <c r="B25" s="14" t="inlineStr">
        <is>
          <t>598.14</t>
        </is>
      </c>
      <c r="C25" s="15" t="inlineStr">
        <is>
          <t>598.14</t>
        </is>
      </c>
      <c r="D25" s="14" t="n"/>
      <c r="E25" s="14" t="n"/>
      <c r="F25" s="14" t="n"/>
      <c r="G25" s="14" t="n"/>
      <c r="H25" s="14" t="n">
        <v>0.95</v>
      </c>
    </row>
    <row r="26">
      <c r="A26" s="14" t="inlineStr">
        <is>
          <t>FullySigned_Lease_Agreement_Neste_EDGE_Coolsingel.pdf</t>
        </is>
      </c>
      <c r="B26" s="14" t="inlineStr">
        <is>
          <t>1056</t>
        </is>
      </c>
      <c r="C26" s="15" t="inlineStr">
        <is>
          <t>1056</t>
        </is>
      </c>
      <c r="D26" s="14" t="n"/>
      <c r="E26" s="14" t="n"/>
      <c r="F26" s="14" t="n"/>
      <c r="G26" s="14" t="n"/>
      <c r="H26" s="14" t="n">
        <v>0.9695876288659794</v>
      </c>
    </row>
    <row r="27">
      <c r="A27" s="14" t="inlineStr">
        <is>
          <t>HOK Waalhaven Group (signed).pdf</t>
        </is>
      </c>
      <c r="B27" s="14" t="inlineStr">
        <is>
          <t>672</t>
        </is>
      </c>
      <c r="C27" s="15" t="inlineStr">
        <is>
          <t>672</t>
        </is>
      </c>
      <c r="D27" s="14" t="n"/>
      <c r="E27" s="14" t="n"/>
      <c r="F27" s="14" t="n"/>
      <c r="G27" s="14" t="n"/>
      <c r="H27" s="14" t="n">
        <v>0.95</v>
      </c>
    </row>
    <row r="28">
      <c r="A28" s="14" t="inlineStr">
        <is>
          <t>Hovk Avans  (3e+4e+5e verd.) 20140425.pdf</t>
        </is>
      </c>
      <c r="B28" s="14" t="inlineStr">
        <is>
          <t>1612</t>
        </is>
      </c>
      <c r="C28" s="15" t="inlineStr">
        <is>
          <t>1612</t>
        </is>
      </c>
      <c r="D28" s="14" t="n"/>
      <c r="E28" s="14" t="n"/>
      <c r="F28" s="14" t="n"/>
      <c r="G28" s="14" t="n"/>
      <c r="H28" s="14" t="n">
        <v>0.95</v>
      </c>
    </row>
    <row r="29">
      <c r="A29" s="14" t="inlineStr">
        <is>
          <t>HOVK Power4People 2025.pdf</t>
        </is>
      </c>
      <c r="B29" s="14" t="inlineStr">
        <is>
          <t>1</t>
        </is>
      </c>
      <c r="C29" s="15" t="inlineStr">
        <is>
          <t>1</t>
        </is>
      </c>
      <c r="D29" s="14" t="n"/>
      <c r="E29" s="14" t="n"/>
      <c r="F29" s="14" t="n"/>
      <c r="G29" s="14" t="n"/>
      <c r="H29" s="14" t="n">
        <v>0.9695876288659794</v>
      </c>
    </row>
    <row r="30">
      <c r="A30" s="14" t="inlineStr">
        <is>
          <t>Huurovereenkomst (Semmie Group B.V.) - Wilhelminasingel 19, Breda.pdf</t>
        </is>
      </c>
      <c r="B30" s="14" t="inlineStr">
        <is>
          <t>61.4</t>
        </is>
      </c>
      <c r="C30" s="15" t="inlineStr">
        <is>
          <t>61.4</t>
        </is>
      </c>
      <c r="D30" s="14" t="n"/>
      <c r="E30" s="14" t="n"/>
      <c r="F30" s="14" t="n"/>
      <c r="G30" s="14" t="n"/>
      <c r="H30" s="14" t="n">
        <v>0.95</v>
      </c>
    </row>
    <row r="31">
      <c r="A31" s="14" t="inlineStr">
        <is>
          <t>Huurovereenkomst - proces-verbaal van oplevering - sleuteloverdracht - Kennedyplein 101 - getekend.pdf</t>
        </is>
      </c>
      <c r="B31" s="14" t="inlineStr">
        <is>
          <t>988.36</t>
        </is>
      </c>
      <c r="C31" s="15" t="inlineStr">
        <is>
          <t>988.36</t>
        </is>
      </c>
      <c r="D31" s="14" t="n"/>
      <c r="E31" s="14" t="n"/>
      <c r="F31" s="14" t="n"/>
      <c r="G31" s="14" t="n"/>
      <c r="H31" s="14" t="n">
        <v>0.9695876288659794</v>
      </c>
    </row>
    <row r="32">
      <c r="A32" s="14" t="inlineStr">
        <is>
          <t>Huurovereenkomst Bijster 5 te Breda getekend.pdf</t>
        </is>
      </c>
      <c r="B32" s="14" t="inlineStr">
        <is>
          <t>435</t>
        </is>
      </c>
      <c r="C32" s="15" t="inlineStr">
        <is>
          <t>435</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inlineStr">
        <is>
          <t>9</t>
        </is>
      </c>
      <c r="C34" s="15" t="inlineStr">
        <is>
          <t>9</t>
        </is>
      </c>
      <c r="D34" s="14" t="n"/>
      <c r="E34" s="14" t="n"/>
      <c r="F34" s="14" t="n"/>
      <c r="G34" s="14" t="n"/>
      <c r="H34" s="14" t="n">
        <v>0.95</v>
      </c>
    </row>
    <row r="35">
      <c r="A35" s="14" t="inlineStr">
        <is>
          <t>Huurovereenkomst PBG Parallelweg 64 (beg.grond) 20121008.pdf</t>
        </is>
      </c>
      <c r="B35" s="14" t="inlineStr">
        <is>
          <t>808</t>
        </is>
      </c>
      <c r="C35" s="15" t="inlineStr">
        <is>
          <t>808</t>
        </is>
      </c>
      <c r="D35" s="14" t="n"/>
      <c r="E35" s="14" t="n"/>
      <c r="F35" s="14" t="n"/>
      <c r="G35" s="14" t="n"/>
      <c r="H35" s="14" t="n">
        <v>0.9647668393782383</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inlineStr">
        <is>
          <t>SqM</t>
        </is>
      </c>
      <c r="C2" s="15" t="inlineStr">
        <is>
          <t>SqM</t>
        </is>
      </c>
      <c r="D2" s="14" t="n"/>
      <c r="E2" s="14" t="n"/>
      <c r="F2" s="14" t="n"/>
      <c r="G2" s="14" t="n"/>
      <c r="H2" s="14" t="n">
        <v>0.9695876288659794</v>
      </c>
      <c r="K2" s="16" t="inlineStr">
        <is>
          <t>Metrics</t>
        </is>
      </c>
      <c r="L2" s="16" t="inlineStr">
        <is>
          <t>Percentage</t>
        </is>
      </c>
      <c r="N2" s="16" t="inlineStr">
        <is>
          <t>Metrics</t>
        </is>
      </c>
      <c r="O2" s="16" t="inlineStr">
        <is>
          <t>Percentage</t>
        </is>
      </c>
    </row>
    <row r="3">
      <c r="A3" s="14" t="inlineStr">
        <is>
          <t>2024.10.30_Office Rental Agreement Labs_Gruyter Fabriek.pdf</t>
        </is>
      </c>
      <c r="B3" s="14" t="inlineStr">
        <is>
          <t>SqM</t>
        </is>
      </c>
      <c r="C3" s="15" t="inlineStr">
        <is>
          <t>SqM</t>
        </is>
      </c>
      <c r="D3" s="14" t="n"/>
      <c r="E3" s="14" t="n"/>
      <c r="F3" s="14" t="n"/>
      <c r="G3" s="14" t="n"/>
      <c r="H3" s="14" t="n">
        <v>0.95</v>
      </c>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inlineStr">
        <is>
          <t>SqM</t>
        </is>
      </c>
      <c r="C4" s="15" t="inlineStr">
        <is>
          <t>SqM</t>
        </is>
      </c>
      <c r="D4" s="14" t="n"/>
      <c r="E4" s="14" t="n"/>
      <c r="F4" s="14" t="n"/>
      <c r="G4" s="14" t="n"/>
      <c r="H4" s="14" t="n">
        <v>0.95</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inlineStr">
        <is>
          <t>SqM</t>
        </is>
      </c>
      <c r="C5" s="15" t="inlineStr">
        <is>
          <t>SqM</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inlineStr">
        <is>
          <t>SqM</t>
        </is>
      </c>
      <c r="C6" s="15" t="inlineStr">
        <is>
          <t>SqM</t>
        </is>
      </c>
      <c r="D6" s="14" t="n"/>
      <c r="E6" s="14" t="n"/>
      <c r="F6" s="14" t="n"/>
      <c r="G6" s="14" t="n"/>
      <c r="H6" s="14" t="n">
        <v>0.95</v>
      </c>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inlineStr">
        <is>
          <t>SqM</t>
        </is>
      </c>
      <c r="C7" s="15" t="inlineStr">
        <is>
          <t>SqM</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inlineStr">
        <is>
          <t>SqM</t>
        </is>
      </c>
      <c r="C8" s="15" t="inlineStr">
        <is>
          <t>SqM</t>
        </is>
      </c>
      <c r="D8" s="14" t="n"/>
      <c r="E8" s="14" t="n"/>
      <c r="F8" s="14" t="n"/>
      <c r="G8" s="14" t="n"/>
      <c r="H8" s="14" t="n">
        <v>0.95</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inlineStr">
        <is>
          <t>SqM</t>
        </is>
      </c>
      <c r="C9" s="15" t="inlineStr">
        <is>
          <t>SqM</t>
        </is>
      </c>
      <c r="D9" s="14" t="n"/>
      <c r="E9" s="14" t="n"/>
      <c r="F9" s="14" t="n"/>
      <c r="G9" s="14" t="n"/>
      <c r="H9" s="14" t="n">
        <v>0.9695876288659794</v>
      </c>
      <c r="K9" s="17" t="inlineStr">
        <is>
          <t>No Of Docs With Response</t>
        </is>
      </c>
      <c r="L9" s="19">
        <f>COUNTIFS(C2:C36,"&lt;&gt;")</f>
        <v/>
      </c>
      <c r="N9" s="17" t="inlineStr">
        <is>
          <t>No Of Docs With Response Pg</t>
        </is>
      </c>
      <c r="O9" s="19">
        <f>COUNTIFS(F2:F36,"&lt;&gt;")</f>
        <v/>
      </c>
    </row>
    <row r="10">
      <c r="A10" s="14" t="inlineStr">
        <is>
          <t>20260810 HOK ClustR BV.pdf</t>
        </is>
      </c>
      <c r="B10" s="14" t="inlineStr">
        <is>
          <t>SqM</t>
        </is>
      </c>
      <c r="C10" s="15" t="inlineStr">
        <is>
          <t>SqM</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inlineStr">
        <is>
          <t>SqM</t>
        </is>
      </c>
      <c r="C11" s="15" t="inlineStr">
        <is>
          <t>SqM</t>
        </is>
      </c>
      <c r="D11" s="14" t="n"/>
      <c r="E11" s="14" t="n"/>
      <c r="F11" s="14" t="n"/>
      <c r="G11" s="14" t="n"/>
      <c r="H11" s="14" t="n">
        <v>0.95</v>
      </c>
      <c r="K11" s="17" t="inlineStr">
        <is>
          <t>Validation Rules Example</t>
        </is>
      </c>
    </row>
    <row r="12">
      <c r="A12" s="14" t="inlineStr">
        <is>
          <t>240119 HOVK Spoorlaan 446-448 Tilburg signed.pdf</t>
        </is>
      </c>
      <c r="B12" s="14" t="inlineStr">
        <is>
          <t>SqM</t>
        </is>
      </c>
      <c r="C12" s="15" t="inlineStr">
        <is>
          <t>SqM</t>
        </is>
      </c>
      <c r="D12" s="14" t="n"/>
      <c r="E12" s="14" t="n"/>
      <c r="F12" s="14" t="n"/>
      <c r="G12" s="14" t="n"/>
      <c r="H12" s="14" t="n">
        <v>0.9695876288659794</v>
      </c>
      <c r="K12" s="16" t="inlineStr">
        <is>
          <t>Manual Data</t>
        </is>
      </c>
      <c r="L12" s="16" t="inlineStr">
        <is>
          <t>Response Data</t>
        </is>
      </c>
      <c r="M12" s="16" t="inlineStr">
        <is>
          <t>Result</t>
        </is>
      </c>
    </row>
    <row r="13">
      <c r="A13" s="14" t="inlineStr">
        <is>
          <t>27001 Rijksvastgoedbedrijf Huurovereenkomst - __27-01-2026_9-07-56.pdf</t>
        </is>
      </c>
      <c r="B13" s="14" t="inlineStr">
        <is>
          <t>SqM</t>
        </is>
      </c>
      <c r="C13" s="15" t="inlineStr">
        <is>
          <t>SqM</t>
        </is>
      </c>
      <c r="D13" s="14" t="n"/>
      <c r="E13" s="14" t="n"/>
      <c r="F13" s="14" t="n"/>
      <c r="G13" s="14" t="n"/>
      <c r="H13" s="14" t="n">
        <v>0.95</v>
      </c>
      <c r="K13" t="n">
        <v>100</v>
      </c>
      <c r="L13" t="n">
        <v>100</v>
      </c>
      <c r="M13" t="inlineStr">
        <is>
          <t>TP</t>
        </is>
      </c>
    </row>
    <row r="14">
      <c r="A14" s="14" t="inlineStr">
        <is>
          <t>CBRE_AT_Services_ENG_-_RITUALS_CBRE signed.pdf</t>
        </is>
      </c>
      <c r="B14" s="14" t="inlineStr">
        <is>
          <t>SqM</t>
        </is>
      </c>
      <c r="C14" s="15" t="inlineStr">
        <is>
          <t>SqM</t>
        </is>
      </c>
      <c r="D14" s="14" t="n"/>
      <c r="E14" s="14" t="n"/>
      <c r="F14" s="14" t="n"/>
      <c r="G14" s="14" t="n"/>
      <c r="H14" s="14" t="n">
        <v>0.9695876288659794</v>
      </c>
      <c r="L14" t="n">
        <v>100</v>
      </c>
      <c r="M14" t="inlineStr">
        <is>
          <t>FP</t>
        </is>
      </c>
    </row>
    <row r="15">
      <c r="A15" s="14" t="inlineStr">
        <is>
          <t>CBRE_Engagement_Letter_Alnylam_20260525_CLEAN_Version_signed all.pdf</t>
        </is>
      </c>
      <c r="B15" s="14" t="inlineStr">
        <is>
          <t>SqM</t>
        </is>
      </c>
      <c r="C15" s="15" t="inlineStr">
        <is>
          <t>SqM</t>
        </is>
      </c>
      <c r="D15" s="14" t="n"/>
      <c r="E15" s="14" t="n"/>
      <c r="F15" s="14" t="n"/>
      <c r="G15" s="14" t="n"/>
      <c r="H15" s="14" t="n">
        <v>0.9647668393782383</v>
      </c>
      <c r="K15" t="n">
        <v>100</v>
      </c>
      <c r="L15" t="n">
        <v>200</v>
      </c>
      <c r="M15" t="inlineStr">
        <is>
          <t>FP</t>
        </is>
      </c>
    </row>
    <row r="16">
      <c r="A16" s="14" t="inlineStr">
        <is>
          <t>COMPL DEF Huurovereenkomst - Skybox - Pepperl+Fuchs - 20260204.pdf</t>
        </is>
      </c>
      <c r="B16" s="14" t="inlineStr">
        <is>
          <t>SqM</t>
        </is>
      </c>
      <c r="C16" s="15" t="inlineStr">
        <is>
          <t>SqM</t>
        </is>
      </c>
      <c r="D16" s="14" t="n"/>
      <c r="E16" s="14" t="n"/>
      <c r="F16" s="14" t="n"/>
      <c r="G16" s="14" t="n"/>
      <c r="H16" s="14" t="n">
        <v>0.95</v>
      </c>
      <c r="K16" t="n">
        <v>100</v>
      </c>
      <c r="M16" t="inlineStr">
        <is>
          <t>FN</t>
        </is>
      </c>
    </row>
    <row r="17">
      <c r="A17" s="14" t="inlineStr">
        <is>
          <t>COMPL Huurovereenkomst - Stichting CCE - Kantoorgebouw Metzpoint I Dr. Holtroplaan - Fully Signed.pdf</t>
        </is>
      </c>
      <c r="B17" s="14" t="inlineStr">
        <is>
          <t>SqM</t>
        </is>
      </c>
      <c r="C17" s="15" t="inlineStr">
        <is>
          <t>SqM</t>
        </is>
      </c>
      <c r="D17" s="14" t="n"/>
      <c r="E17" s="14" t="n"/>
      <c r="F17" s="14" t="n"/>
      <c r="G17" s="14" t="n"/>
      <c r="H17" s="14" t="n">
        <v>0.9695876288659794</v>
      </c>
      <c r="M17" t="inlineStr">
        <is>
          <t>TN</t>
        </is>
      </c>
    </row>
    <row r="18">
      <c r="A18" s="14" t="inlineStr">
        <is>
          <t>COMPL Regel Partners - HOVK - Luchthavenweg 81 - 20260728.pdf</t>
        </is>
      </c>
      <c r="B18" s="14" t="inlineStr">
        <is>
          <t>SqM</t>
        </is>
      </c>
      <c r="C18" s="15" t="inlineStr">
        <is>
          <t>SqM</t>
        </is>
      </c>
      <c r="D18" s="14" t="n"/>
      <c r="E18" s="14" t="n"/>
      <c r="F18" s="14" t="n"/>
      <c r="G18" s="14" t="n"/>
      <c r="H18" s="14" t="n">
        <v>0.9695876288659794</v>
      </c>
    </row>
    <row r="19">
      <c r="A19" s="14" t="inlineStr">
        <is>
          <t>COMPL_-_Onderhuurovereenkomst_Zelfstroom_B.V._-_50five_B.V._-_kantoorgebouw_Riva_-_05032026.pdf</t>
        </is>
      </c>
      <c r="B19" s="14" t="inlineStr">
        <is>
          <t>SqM</t>
        </is>
      </c>
      <c r="C19" s="15" t="inlineStr">
        <is>
          <t>SqM</t>
        </is>
      </c>
      <c r="D19" s="14" t="n"/>
      <c r="E19" s="14" t="n"/>
      <c r="F19" s="14" t="n"/>
      <c r="G19" s="14" t="n"/>
      <c r="H19" s="14" t="n">
        <v>0.9695876288659794</v>
      </c>
      <c r="K19" s="17" t="inlineStr">
        <is>
          <t>Field:</t>
        </is>
      </c>
      <c r="L19" t="inlineStr">
        <is>
          <t>measurements / property_measurement_size_uom</t>
        </is>
      </c>
    </row>
    <row r="20">
      <c r="A20" s="14" t="inlineStr">
        <is>
          <t>Den Bosch, Ruwekampweg 4, HOVK getekend.pdf</t>
        </is>
      </c>
      <c r="B20" s="14" t="inlineStr">
        <is>
          <t>SqM</t>
        </is>
      </c>
      <c r="C20" s="15" t="inlineStr">
        <is>
          <t>SqM</t>
        </is>
      </c>
      <c r="D20" s="14" t="n"/>
      <c r="E20" s="14" t="n"/>
      <c r="F20" s="14" t="n"/>
      <c r="G20" s="14" t="n"/>
      <c r="H20" s="14" t="n">
        <v>0.9695876288659794</v>
      </c>
    </row>
    <row r="21">
      <c r="A21" s="14" t="inlineStr">
        <is>
          <t>FULLY SIGNED - COMPL Huurovereenkomst - Heijmans - Hugo de Grootlaan 23 's-Hertogenbosch V2 30-9-2025.pdf</t>
        </is>
      </c>
      <c r="B21" s="14" t="inlineStr">
        <is>
          <t>SqM</t>
        </is>
      </c>
      <c r="C21" s="15" t="inlineStr">
        <is>
          <t>SqM</t>
        </is>
      </c>
      <c r="D21" s="14" t="n"/>
      <c r="E21" s="14" t="n"/>
      <c r="F21" s="14" t="n"/>
      <c r="G21" s="14" t="n"/>
      <c r="H21" s="14" t="n">
        <v>0.95</v>
      </c>
    </row>
    <row r="22">
      <c r="A22" s="14" t="inlineStr">
        <is>
          <t>FULLY SIGNED - DEF_COMPL_Huurovereenkomst_Robo_Charge_-_Campus_Offices_-_20260220.pdf</t>
        </is>
      </c>
      <c r="B22" s="14" t="inlineStr">
        <is>
          <t>SqM</t>
        </is>
      </c>
      <c r="C22" s="15" t="inlineStr">
        <is>
          <t>SqM</t>
        </is>
      </c>
      <c r="D22" s="14" t="n"/>
      <c r="E22" s="14" t="n"/>
      <c r="F22" s="14" t="n"/>
      <c r="G22" s="14" t="n"/>
      <c r="H22" s="14" t="n">
        <v>0.9695876288659794</v>
      </c>
    </row>
    <row r="23">
      <c r="A23" s="14" t="inlineStr">
        <is>
          <t>FULLY SIGNED - Onderhuurovereenkomst Aartshertogenlaan 223, `s-Hertogenbosch - Koning Willem I College B.V. 2606202.pdf</t>
        </is>
      </c>
      <c r="B23" s="14" t="inlineStr">
        <is>
          <t>SqM</t>
        </is>
      </c>
      <c r="C23" s="15" t="inlineStr">
        <is>
          <t>SqM</t>
        </is>
      </c>
      <c r="D23" s="14" t="n"/>
      <c r="E23" s="14" t="n"/>
      <c r="F23" s="14" t="n"/>
      <c r="G23" s="14" t="n"/>
      <c r="H23" s="14" t="n">
        <v>0.95</v>
      </c>
    </row>
    <row r="24">
      <c r="A24" s="14" t="inlineStr">
        <is>
          <t>FULLY SIGNED COMPL_DEF_Huurovereenkomst_Bond_Bergschot_Breda.pdf</t>
        </is>
      </c>
      <c r="B24" s="14" t="inlineStr">
        <is>
          <t>SqM</t>
        </is>
      </c>
      <c r="C24" s="15" t="inlineStr">
        <is>
          <t>SqM</t>
        </is>
      </c>
      <c r="D24" s="14" t="n"/>
      <c r="E24" s="14" t="n"/>
      <c r="F24" s="14" t="n"/>
      <c r="G24" s="14" t="n"/>
      <c r="H24" s="14" t="n">
        <v>0.95</v>
      </c>
    </row>
    <row r="25">
      <c r="A25" s="14" t="inlineStr">
        <is>
          <t>FullySigned_Allonge_II_Virtual_Vaults_Nederland.pdf</t>
        </is>
      </c>
      <c r="B25" s="14" t="inlineStr">
        <is>
          <t>SqM</t>
        </is>
      </c>
      <c r="C25" s="15" t="inlineStr">
        <is>
          <t>SqM</t>
        </is>
      </c>
      <c r="D25" s="14" t="n"/>
      <c r="E25" s="14" t="n"/>
      <c r="F25" s="14" t="n"/>
      <c r="G25" s="14" t="n"/>
      <c r="H25" s="14" t="n">
        <v>0.95</v>
      </c>
    </row>
    <row r="26">
      <c r="A26" s="14" t="inlineStr">
        <is>
          <t>FullySigned_Lease_Agreement_Neste_EDGE_Coolsingel.pdf</t>
        </is>
      </c>
      <c r="B26" s="14" t="inlineStr">
        <is>
          <t>SqM</t>
        </is>
      </c>
      <c r="C26" s="15" t="inlineStr">
        <is>
          <t>SqM</t>
        </is>
      </c>
      <c r="D26" s="14" t="n"/>
      <c r="E26" s="14" t="n"/>
      <c r="F26" s="14" t="n"/>
      <c r="G26" s="14" t="n"/>
      <c r="H26" s="14" t="n">
        <v>0.9695876288659794</v>
      </c>
    </row>
    <row r="27">
      <c r="A27" s="14" t="inlineStr">
        <is>
          <t>HOK Waalhaven Group (signed).pdf</t>
        </is>
      </c>
      <c r="B27" s="14" t="inlineStr">
        <is>
          <t>SqM</t>
        </is>
      </c>
      <c r="C27" s="15" t="inlineStr">
        <is>
          <t>SqM</t>
        </is>
      </c>
      <c r="D27" s="14" t="n"/>
      <c r="E27" s="14" t="n"/>
      <c r="F27" s="14" t="n"/>
      <c r="G27" s="14" t="n"/>
      <c r="H27" s="14" t="n">
        <v>0.95</v>
      </c>
    </row>
    <row r="28">
      <c r="A28" s="14" t="inlineStr">
        <is>
          <t>Hovk Avans  (3e+4e+5e verd.) 20140425.pdf</t>
        </is>
      </c>
      <c r="B28" s="14" t="inlineStr">
        <is>
          <t>SqM</t>
        </is>
      </c>
      <c r="C28" s="15" t="inlineStr">
        <is>
          <t>SqM</t>
        </is>
      </c>
      <c r="D28" s="14" t="n"/>
      <c r="E28" s="14" t="n"/>
      <c r="F28" s="14" t="n"/>
      <c r="G28" s="14" t="n"/>
      <c r="H28" s="14" t="n">
        <v>0.95</v>
      </c>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inlineStr">
        <is>
          <t>SqM</t>
        </is>
      </c>
      <c r="C30" s="15" t="inlineStr">
        <is>
          <t>SqM</t>
        </is>
      </c>
      <c r="D30" s="14" t="n"/>
      <c r="E30" s="14" t="n"/>
      <c r="F30" s="14" t="n"/>
      <c r="G30" s="14" t="n"/>
      <c r="H30" s="14" t="n">
        <v>0.95</v>
      </c>
    </row>
    <row r="31">
      <c r="A31" s="14" t="inlineStr">
        <is>
          <t>Huurovereenkomst - proces-verbaal van oplevering - sleuteloverdracht - Kennedyplein 101 - getekend.pdf</t>
        </is>
      </c>
      <c r="B31" s="14" t="inlineStr">
        <is>
          <t>SqM</t>
        </is>
      </c>
      <c r="C31" s="15" t="inlineStr">
        <is>
          <t>SqM</t>
        </is>
      </c>
      <c r="D31" s="14" t="n"/>
      <c r="E31" s="14" t="n"/>
      <c r="F31" s="14" t="n"/>
      <c r="G31" s="14" t="n"/>
      <c r="H31" s="14" t="n">
        <v>0.9695876288659794</v>
      </c>
    </row>
    <row r="32">
      <c r="A32" s="14" t="inlineStr">
        <is>
          <t>Huurovereenkomst Bijster 5 te Breda getekend.pdf</t>
        </is>
      </c>
      <c r="B32" s="14" t="inlineStr">
        <is>
          <t>SqM</t>
        </is>
      </c>
      <c r="C32" s="15" t="inlineStr">
        <is>
          <t>SqM</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inlineStr">
        <is>
          <t>SqM</t>
        </is>
      </c>
      <c r="C34" s="15" t="inlineStr">
        <is>
          <t>SqM</t>
        </is>
      </c>
      <c r="D34" s="14" t="n"/>
      <c r="E34" s="14" t="n"/>
      <c r="F34" s="14" t="n"/>
      <c r="G34" s="14" t="n"/>
      <c r="H34" s="14" t="n">
        <v>0.95</v>
      </c>
    </row>
    <row r="35">
      <c r="A35" s="14" t="inlineStr">
        <is>
          <t>Huurovereenkomst PBG Parallelweg 64 (beg.grond) 20121008.pdf</t>
        </is>
      </c>
      <c r="B35" s="14" t="inlineStr">
        <is>
          <t>SqM</t>
        </is>
      </c>
      <c r="C35" s="15" t="inlineStr">
        <is>
          <t>SqM</t>
        </is>
      </c>
      <c r="D35" s="14" t="n"/>
      <c r="E35" s="14" t="n"/>
      <c r="F35" s="14" t="n"/>
      <c r="G35" s="14" t="n"/>
      <c r="H35" s="14" t="n">
        <v>0.9647668393782383</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27</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2</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2</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inlineStr">
        <is>
          <t>5</t>
        </is>
      </c>
      <c r="D8" s="14" t="n"/>
      <c r="E8" s="14" t="n"/>
      <c r="F8" s="14" t="n"/>
      <c r="G8" s="14" t="n"/>
      <c r="H8" s="14" t="n">
        <v>0.9695876288659794</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4</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n"/>
      <c r="C11" s="15" t="inlineStr">
        <is>
          <t>10</t>
        </is>
      </c>
      <c r="D11" s="14" t="n"/>
      <c r="E11" s="14" t="n"/>
      <c r="F11" s="14" t="n"/>
      <c r="G11" s="14" t="n"/>
      <c r="H11" s="14" t="n">
        <v>0.95</v>
      </c>
      <c r="K11" s="17" t="inlineStr">
        <is>
          <t>Validation Rules Example</t>
        </is>
      </c>
    </row>
    <row r="12">
      <c r="A12" s="14" t="inlineStr">
        <is>
          <t>240119 HOVK Spoorlaan 446-448 Tilburg signed.pdf</t>
        </is>
      </c>
      <c r="B12" s="14" t="n"/>
      <c r="C12" s="15" t="inlineStr">
        <is>
          <t>49</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35</t>
        </is>
      </c>
      <c r="D13" s="14" t="n"/>
      <c r="E13" s="14" t="n"/>
      <c r="F13" s="14" t="n"/>
      <c r="G13" s="14" t="n"/>
      <c r="H13" s="14" t="n">
        <v>0.95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10</t>
        </is>
      </c>
      <c r="D16" s="14" t="n"/>
      <c r="E16" s="14" t="n"/>
      <c r="F16" s="14" t="n"/>
      <c r="G16" s="14" t="n"/>
      <c r="H16" s="14" t="n">
        <v>0.95</v>
      </c>
      <c r="K16" t="n">
        <v>100</v>
      </c>
      <c r="M16" t="inlineStr">
        <is>
          <t>FN</t>
        </is>
      </c>
    </row>
    <row r="17">
      <c r="A17" s="14" t="inlineStr">
        <is>
          <t>COMPL Huurovereenkomst - Stichting CCE - Kantoorgebouw Metzpoint I Dr. Holtroplaan - Fully Signed.pdf</t>
        </is>
      </c>
      <c r="B17" s="14" t="n"/>
      <c r="C17" s="15" t="inlineStr">
        <is>
          <t>4</t>
        </is>
      </c>
      <c r="D17" s="14" t="n"/>
      <c r="E17" s="14" t="n"/>
      <c r="F17" s="14" t="n"/>
      <c r="G17" s="14" t="n"/>
      <c r="H17" s="14" t="n">
        <v>0.95</v>
      </c>
      <c r="M17" t="inlineStr">
        <is>
          <t>TN</t>
        </is>
      </c>
    </row>
    <row r="18">
      <c r="A18" s="14" t="inlineStr">
        <is>
          <t>COMPL Regel Partners - HOVK - Luchthavenweg 81 - 20260728.pdf</t>
        </is>
      </c>
      <c r="B18" s="14" t="n"/>
      <c r="C18" s="15" t="inlineStr">
        <is>
          <t>10</t>
        </is>
      </c>
      <c r="D18" s="14" t="n"/>
      <c r="E18" s="14" t="n"/>
      <c r="F18" s="14" t="n"/>
      <c r="G18" s="14" t="n"/>
      <c r="H18" s="14" t="n">
        <v>0.9695876288659794</v>
      </c>
    </row>
    <row r="19">
      <c r="A19" s="14" t="inlineStr">
        <is>
          <t>COMPL_-_Onderhuurovereenkomst_Zelfstroom_B.V._-_50five_B.V._-_kantoorgebouw_Riva_-_05032026.pdf</t>
        </is>
      </c>
      <c r="B19" s="14" t="n"/>
      <c r="C19" s="15" t="inlineStr">
        <is>
          <t>15</t>
        </is>
      </c>
      <c r="D19" s="14" t="n"/>
      <c r="E19" s="14" t="n"/>
      <c r="F19" s="14" t="n"/>
      <c r="G19" s="14" t="n"/>
      <c r="H19" s="14" t="n">
        <v>0.95</v>
      </c>
      <c r="K19" s="17" t="inlineStr">
        <is>
          <t>Field:</t>
        </is>
      </c>
      <c r="L19" t="inlineStr">
        <is>
          <t>parking / number_parking_space</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inlineStr">
        <is>
          <t>2</t>
        </is>
      </c>
      <c r="D21" s="14" t="n"/>
      <c r="E21" s="14" t="n"/>
      <c r="F21" s="14" t="n"/>
      <c r="G21" s="14" t="n"/>
      <c r="H21" s="14" t="n">
        <v>0.95</v>
      </c>
    </row>
    <row r="22">
      <c r="A22" s="14" t="inlineStr">
        <is>
          <t>FULLY SIGNED - DEF_COMPL_Huurovereenkomst_Robo_Charge_-_Campus_Offices_-_20260220.pdf</t>
        </is>
      </c>
      <c r="B22" s="14" t="n"/>
      <c r="C22" s="15" t="inlineStr">
        <is>
          <t>40</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inlineStr">
        <is>
          <t>20</t>
        </is>
      </c>
      <c r="D24" s="14" t="n"/>
      <c r="E24" s="14" t="n"/>
      <c r="F24" s="14" t="n"/>
      <c r="G24" s="14" t="n"/>
      <c r="H24" s="14" t="n">
        <v>0.95</v>
      </c>
    </row>
    <row r="25">
      <c r="A25" s="14" t="inlineStr">
        <is>
          <t>FullySigned_Allonge_II_Virtual_Vaults_Nederland.pdf</t>
        </is>
      </c>
      <c r="B25" s="14" t="n"/>
      <c r="C25" s="15" t="inlineStr">
        <is>
          <t>33</t>
        </is>
      </c>
      <c r="D25" s="14" t="n"/>
      <c r="E25" s="14" t="n"/>
      <c r="F25" s="14" t="n"/>
      <c r="G25" s="14" t="n"/>
      <c r="H25" s="14" t="n">
        <v>0.9695876288659794</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n"/>
      <c r="C27" s="15" t="inlineStr">
        <is>
          <t>15</t>
        </is>
      </c>
      <c r="D27" s="14" t="n"/>
      <c r="E27" s="14" t="n"/>
      <c r="F27" s="14" t="n"/>
      <c r="G27" s="14" t="n"/>
      <c r="H27" s="14" t="n">
        <v>0.9695876288659794</v>
      </c>
    </row>
    <row r="28">
      <c r="A28" s="14" t="inlineStr">
        <is>
          <t>Hovk Avans  (3e+4e+5e verd.) 20140425.pdf</t>
        </is>
      </c>
      <c r="B28" s="14" t="n"/>
      <c r="C28" s="15" t="inlineStr">
        <is>
          <t>43</t>
        </is>
      </c>
      <c r="D28" s="14" t="n"/>
      <c r="E28" s="14" t="n"/>
      <c r="F28" s="14" t="n"/>
      <c r="G28" s="14" t="n"/>
      <c r="H28" s="14" t="n">
        <v>0.95</v>
      </c>
    </row>
    <row r="29">
      <c r="A29" s="14" t="inlineStr">
        <is>
          <t>HOVK Power4People 2025.pdf</t>
        </is>
      </c>
      <c r="B29" s="14" t="n"/>
      <c r="C29" s="15" t="inlineStr">
        <is>
          <t>1</t>
        </is>
      </c>
      <c r="D29" s="14" t="n"/>
      <c r="E29" s="14" t="n"/>
      <c r="F29" s="14" t="n"/>
      <c r="G29" s="14" t="n"/>
      <c r="H29" s="14" t="n">
        <v>0.9695876288659794</v>
      </c>
    </row>
    <row r="30">
      <c r="A30" s="14" t="inlineStr">
        <is>
          <t>Huurovereenkomst (Semmie Group B.V.) - Wilhelminasingel 19, Breda.pdf</t>
        </is>
      </c>
      <c r="B30" s="14" t="n"/>
      <c r="C30" s="15" t="inlineStr">
        <is>
          <t>2</t>
        </is>
      </c>
      <c r="D30" s="14" t="n"/>
      <c r="E30" s="14" t="n"/>
      <c r="F30" s="14" t="n"/>
      <c r="G30" s="14" t="n"/>
      <c r="H30" s="14" t="n">
        <v>0.9647668393782383</v>
      </c>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inlineStr">
        <is>
          <t>10</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13</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ht="86.40000000000001" customHeight="1">
      <c r="A4" s="14" t="inlineStr">
        <is>
          <t>20240606_HOK AKD - EDGE Eindhoven execution version.pdf</t>
        </is>
      </c>
      <c r="B4" s="14" t="n"/>
      <c r="C4" s="15" t="inlineStr">
        <is>
          <t>The tenant is granted 27 car parking spaces, of which 5 are fixed on level -1.5 (numbers 235 to 239), and the other 22 are 'zwerfplekken' (floating spots); should the garage be outsourced, tenant will sign directly with the operator under substantially the same terms, and retains usage rights for all 27 spaces. The monthly rate per space is EUR 191.67.</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The tenant leases 2 parking spaces as part of the lease arrangement.</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The tenant rents 2 outdoor parking spaces on the premises.</t>
        </is>
      </c>
      <c r="D7" s="14" t="n"/>
      <c r="E7" s="14" t="n"/>
      <c r="F7" s="14" t="n"/>
      <c r="G7" s="14" t="n"/>
      <c r="H7" s="14" t="n">
        <v>0.95</v>
      </c>
      <c r="K7" s="17" t="inlineStr">
        <is>
          <t>Total Docs Tested</t>
        </is>
      </c>
      <c r="L7" s="19">
        <f>COUNTA(A2:A36)</f>
        <v/>
      </c>
      <c r="N7" s="17" t="inlineStr">
        <is>
          <t>Total Docs Tested</t>
        </is>
      </c>
      <c r="O7" s="19">
        <f>COUNTA(A2:A36)</f>
        <v/>
      </c>
    </row>
    <row r="8" ht="28.8" customHeight="1">
      <c r="A8" s="14" t="inlineStr">
        <is>
          <t>20260629 HOK ADHDcentraal BV (1).pdf</t>
        </is>
      </c>
      <c r="B8" s="14" t="n"/>
      <c r="C8" s="15" t="inlineStr">
        <is>
          <t>The tenant leases 5 parking spaces; no fixed spaces are assigned and rent is per agreement.</t>
        </is>
      </c>
      <c r="D8" s="14" t="n"/>
      <c r="E8" s="14" t="n"/>
      <c r="F8" s="14" t="n"/>
      <c r="G8" s="14" t="n"/>
      <c r="H8" s="14" t="n">
        <v>0.9695876288659794</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ht="28.8" customHeight="1">
      <c r="A10" s="14" t="inlineStr">
        <is>
          <t>20260810 HOK ClustR BV.pdf</t>
        </is>
      </c>
      <c r="B10" s="14" t="n"/>
      <c r="C10" s="15" t="inlineStr">
        <is>
          <t>The tenant rents 4 parking spaces; one of these is a flexible parking place that can be terminated monthly by either party.</t>
        </is>
      </c>
      <c r="D10" s="14" t="n"/>
      <c r="E10" s="14" t="n"/>
      <c r="F10" s="14" t="n"/>
      <c r="G10" s="14" t="n"/>
      <c r="H10" s="14" t="n">
        <v>0.9695876288659794</v>
      </c>
      <c r="K10" s="20" t="inlineStr">
        <is>
          <t>Highlighted rows = file(s) not in the annotation sheet; excluded from all metrics above.</t>
        </is>
      </c>
    </row>
    <row r="11" ht="28.8" customHeight="1">
      <c r="A11" s="14" t="inlineStr">
        <is>
          <t>20270801 - Getekende Allonge II Advario BV.pdf</t>
        </is>
      </c>
      <c r="B11" s="14" t="n"/>
      <c r="C11" s="15" t="inlineStr">
        <is>
          <t>10 parkeerplaatsen in de Parkeergarage WTC-Beursplein zijn door de huurder in gebruik genomen op basis van een 24/7, abonnement vast.</t>
        </is>
      </c>
      <c r="D11" s="14" t="n"/>
      <c r="E11" s="14" t="n"/>
      <c r="F11" s="14" t="n"/>
      <c r="G11" s="14" t="n"/>
      <c r="H11" s="14" t="n">
        <v>0.95</v>
      </c>
      <c r="K11" s="17" t="inlineStr">
        <is>
          <t>Validation Rules Example</t>
        </is>
      </c>
    </row>
    <row r="12" ht="28.8" customHeight="1">
      <c r="A12" s="14" t="inlineStr">
        <is>
          <t>240119 HOVK Spoorlaan 446-448 Tilburg signed.pdf</t>
        </is>
      </c>
      <c r="B12" s="14" t="n"/>
      <c r="C12" s="15" t="inlineStr">
        <is>
          <t>The tenant is entitled to 49 outdoor parking spaces as part of the leased premises at Spoorlaan 446-448, 5038 CH, Tilburg.</t>
        </is>
      </c>
      <c r="D12" s="14" t="n"/>
      <c r="E12" s="14" t="n"/>
      <c r="F12" s="14" t="n"/>
      <c r="G12" s="14" t="n"/>
      <c r="H12" s="14" t="n">
        <v>0.95</v>
      </c>
      <c r="K12" s="16" t="inlineStr">
        <is>
          <t>Manual Data</t>
        </is>
      </c>
      <c r="L12" s="16" t="inlineStr">
        <is>
          <t>Response Data</t>
        </is>
      </c>
      <c r="M12" s="16" t="inlineStr">
        <is>
          <t>Result</t>
        </is>
      </c>
    </row>
    <row r="13" ht="28.8" customHeight="1">
      <c r="A13" s="14" t="inlineStr">
        <is>
          <t>27001 Rijksvastgoedbedrijf Huurovereenkomst - __27-01-2026_9-07-56.pdf</t>
        </is>
      </c>
      <c r="B13" s="14" t="n"/>
      <c r="C13" s="15" t="inlineStr">
        <is>
          <t>35 parkeerplaatsen zijn beschikbaar voor de huurder en worden afzonderlijk gerekend tegen een vaste prijs per parkeerplaats.</t>
        </is>
      </c>
      <c r="D13" s="14" t="n"/>
      <c r="E13" s="14" t="n"/>
      <c r="F13" s="14" t="n"/>
      <c r="G13" s="14" t="n"/>
      <c r="H13" s="14" t="n">
        <v>0.95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ht="28.8" customHeight="1">
      <c r="A16" s="14" t="inlineStr">
        <is>
          <t>COMPL DEF Huurovereenkomst - Skybox - Pepperl+Fuchs - 20260204.pdf</t>
        </is>
      </c>
      <c r="B16" s="14" t="n"/>
      <c r="C16" s="15" t="inlineStr">
        <is>
          <t>The tenant is granted 10 parking spaces as part of the leased premises at Hambakenwetering 5.</t>
        </is>
      </c>
      <c r="D16" s="14" t="n"/>
      <c r="E16" s="14" t="n"/>
      <c r="F16" s="14" t="n"/>
      <c r="G16" s="14" t="n"/>
      <c r="H16" s="14" t="n">
        <v>0.95</v>
      </c>
      <c r="K16" t="n">
        <v>100</v>
      </c>
      <c r="M16" t="inlineStr">
        <is>
          <t>FN</t>
        </is>
      </c>
    </row>
    <row r="17" ht="28.8" customHeight="1">
      <c r="A17" s="14" t="inlineStr">
        <is>
          <t>COMPL Huurovereenkomst - Stichting CCE - Kantoorgebouw Metzpoint I Dr. Holtroplaan - Fully Signed.pdf</t>
        </is>
      </c>
      <c r="B17" s="14" t="n"/>
      <c r="C17" s="15" t="inlineStr">
        <is>
          <t>The tenant is granted 4 fixed parking spaces located on the adjacent parking lot.</t>
        </is>
      </c>
      <c r="D17" s="14" t="n"/>
      <c r="E17" s="14" t="n"/>
      <c r="F17" s="14" t="n"/>
      <c r="G17" s="14" t="n"/>
      <c r="H17" s="14" t="n">
        <v>0.95</v>
      </c>
      <c r="M17" t="inlineStr">
        <is>
          <t>TN</t>
        </is>
      </c>
    </row>
    <row r="18" ht="28.8" customHeight="1">
      <c r="A18" s="14" t="inlineStr">
        <is>
          <t>COMPL Regel Partners - HOVK - Luchthavenweg 81 - 20260728.pdf</t>
        </is>
      </c>
      <c r="B18" s="14" t="n"/>
      <c r="C18" s="15" t="inlineStr">
        <is>
          <t>The tenant is granted 10 outdoor parking spaces on ground level behind the building.</t>
        </is>
      </c>
      <c r="D18" s="14" t="n"/>
      <c r="E18" s="14" t="n"/>
      <c r="F18" s="14" t="n"/>
      <c r="G18" s="14" t="n"/>
      <c r="H18" s="14" t="n">
        <v>0.9695876288659794</v>
      </c>
    </row>
    <row r="19" ht="43.2" customHeight="1">
      <c r="A19" s="14" t="inlineStr">
        <is>
          <t>COMPL_-_Onderhuurovereenkomst_Zelfstroom_B.V._-_50five_B.V._-_kantoorgebouw_Riva_-_05032026.pdf</t>
        </is>
      </c>
      <c r="B19" s="14" t="n"/>
      <c r="C19" s="15" t="inlineStr">
        <is>
          <t>The tenant is allocated 15 assigned parking spaces in the parking garage at Statenlaan 2-20, 's-Hertogenbosch, at a rent of EUR1,600 per space per year, totaling EUR2,000 per month, plus VAT and service costs.</t>
        </is>
      </c>
      <c r="D19" s="14" t="n"/>
      <c r="E19" s="14" t="n"/>
      <c r="F19" s="14" t="n"/>
      <c r="G19" s="14" t="n"/>
      <c r="H19" s="14" t="n">
        <v>0.95</v>
      </c>
      <c r="K19" s="17" t="inlineStr">
        <is>
          <t>Field:</t>
        </is>
      </c>
      <c r="L19" t="inlineStr">
        <is>
          <t>parking / parking_comments</t>
        </is>
      </c>
    </row>
    <row r="20">
      <c r="A20" s="14" t="inlineStr">
        <is>
          <t>Den Bosch, Ruwekampweg 4, HOVK getekend.pdf</t>
        </is>
      </c>
      <c r="B20" s="14" t="n"/>
      <c r="C20" s="15" t="n"/>
      <c r="D20" s="14" t="n"/>
      <c r="E20" s="14" t="n"/>
      <c r="F20" s="14" t="n"/>
      <c r="G20" s="14" t="n"/>
      <c r="H20" s="14" t="n"/>
    </row>
    <row r="21" ht="28.8" customHeight="1">
      <c r="A21" s="14" t="inlineStr">
        <is>
          <t>FULLY SIGNED - COMPL Huurovereenkomst - Heijmans - Hugo de Grootlaan 23 's-Hertogenbosch V2 30-9-2025.pdf</t>
        </is>
      </c>
      <c r="B21" s="14" t="n"/>
      <c r="C21" s="15" t="inlineStr">
        <is>
          <t>The tenant is allocated 2 non-designated parking spaces in the parking garage.</t>
        </is>
      </c>
      <c r="D21" s="14" t="n"/>
      <c r="E21" s="14" t="n"/>
      <c r="F21" s="14" t="n"/>
      <c r="G21" s="14" t="n"/>
      <c r="H21" s="14" t="n">
        <v>0.95</v>
      </c>
    </row>
    <row r="22" ht="28.8" customHeight="1">
      <c r="A22" s="14" t="inlineStr">
        <is>
          <t>FULLY SIGNED - DEF_COMPL_Huurovereenkomst_Robo_Charge_-_Campus_Offices_-_20260220.pdf</t>
        </is>
      </c>
      <c r="B22" s="14" t="n"/>
      <c r="C22" s="15" t="inlineStr">
        <is>
          <t>The tenant leases 40 car parking spaces for EUR 750 per space per year.</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ht="28.8" customHeight="1">
      <c r="A24" s="14" t="inlineStr">
        <is>
          <t>FULLY SIGNED COMPL_DEF_Huurovereenkomst_Bond_Bergschot_Breda.pdf</t>
        </is>
      </c>
      <c r="B24" s="14" t="n"/>
      <c r="C24" s="15" t="inlineStr">
        <is>
          <t>Huurder heeft recht op 20 niet-toegewezen parkeerplaatsen gelegen in de parkeergarage onder het kantoorgebouw.</t>
        </is>
      </c>
      <c r="D24" s="14" t="n"/>
      <c r="E24" s="14" t="n"/>
      <c r="F24" s="14" t="n"/>
      <c r="G24" s="14" t="n"/>
      <c r="H24" s="14" t="n">
        <v>0.95</v>
      </c>
    </row>
    <row r="25" ht="28.8" customHeight="1">
      <c r="A25" s="14" t="inlineStr">
        <is>
          <t>FullySigned_Allonge_II_Virtual_Vaults_Nederland.pdf</t>
        </is>
      </c>
      <c r="B25" s="14" t="n"/>
      <c r="C25" s="15" t="inlineStr">
        <is>
          <t>The tenant rents 33 parking spaces on the parking lot belonging to the building at K.P. van der Mandelelaan 60, Rotterdam.</t>
        </is>
      </c>
      <c r="D25" s="14" t="n"/>
      <c r="E25" s="14" t="n"/>
      <c r="F25" s="14" t="n"/>
      <c r="G25" s="14" t="n"/>
      <c r="H25" s="14" t="n">
        <v>0.9695876288659794</v>
      </c>
    </row>
    <row r="26">
      <c r="A26" s="14" t="inlineStr">
        <is>
          <t>FullySigned_Lease_Agreement_Neste_EDGE_Coolsingel.pdf</t>
        </is>
      </c>
      <c r="B26" s="14" t="n"/>
      <c r="C26" s="15" t="n"/>
      <c r="D26" s="14" t="n"/>
      <c r="E26" s="14" t="n"/>
      <c r="F26" s="14" t="n"/>
      <c r="G26" s="14" t="n"/>
      <c r="H26" s="14" t="n"/>
    </row>
    <row r="27" ht="28.8" customHeight="1">
      <c r="A27" s="14" t="inlineStr">
        <is>
          <t>HOK Waalhaven Group (signed).pdf</t>
        </is>
      </c>
      <c r="B27" s="14" t="n"/>
      <c r="C27" s="15" t="inlineStr">
        <is>
          <t>The tenant is granted 15 not specifically assigned parking spaces on the secure parking lot of the building.</t>
        </is>
      </c>
      <c r="D27" s="14" t="n"/>
      <c r="E27" s="14" t="n"/>
      <c r="F27" s="14" t="n"/>
      <c r="G27" s="14" t="n"/>
      <c r="H27" s="14" t="n">
        <v>0.9695876288659794</v>
      </c>
    </row>
    <row r="28" ht="57.6" customHeight="1">
      <c r="A28" s="14" t="inlineStr">
        <is>
          <t>Hovk Avans  (3e+4e+5e verd.) 20140425.pdf</t>
        </is>
      </c>
      <c r="B28" s="14" t="n"/>
      <c r="C28" s="15" t="inlineStr">
        <is>
          <t>The tenant (Stichting Avans) initially rents 43 parking spaces, which may be reduced by the landlord to 27 spaces if a new tenant enters the building; any reduction is reflected in the rent at a rate of EUR 350 per parking space per year.</t>
        </is>
      </c>
      <c r="D28" s="14" t="n"/>
      <c r="E28" s="14" t="n"/>
      <c r="F28" s="14" t="n"/>
      <c r="G28" s="14" t="n"/>
      <c r="H28" s="14" t="n">
        <v>0.95</v>
      </c>
    </row>
    <row r="29" ht="28.8" customHeight="1">
      <c r="A29" s="14" t="inlineStr">
        <is>
          <t>HOVK Power4People 2025.pdf</t>
        </is>
      </c>
      <c r="B29" s="14" t="n"/>
      <c r="C29" s="15" t="inlineStr">
        <is>
          <t>The tenant is granted 1 parking space with 24/7 access on the parking lot.</t>
        </is>
      </c>
      <c r="D29" s="14" t="n"/>
      <c r="E29" s="14" t="n"/>
      <c r="F29" s="14" t="n"/>
      <c r="G29" s="14" t="n"/>
      <c r="H29" s="14" t="n">
        <v>0.9695876288659794</v>
      </c>
    </row>
    <row r="30">
      <c r="A30" s="14" t="inlineStr">
        <is>
          <t>Huurovereenkomst (Semmie Group B.V.) - Wilhelminasingel 19, Breda.pdf</t>
        </is>
      </c>
      <c r="B30" s="14" t="n"/>
      <c r="C30" s="15" t="inlineStr">
        <is>
          <t>The tenant may use 2 parking spaces at the property.</t>
        </is>
      </c>
      <c r="D30" s="14" t="n"/>
      <c r="E30" s="14" t="n"/>
      <c r="F30" s="14" t="n"/>
      <c r="G30" s="14" t="n"/>
      <c r="H30" s="14" t="n">
        <v>0.9647668393782383</v>
      </c>
    </row>
    <row r="31">
      <c r="A31" s="14" t="inlineStr">
        <is>
          <t>Huurovereenkomst - proces-verbaal van oplevering - sleuteloverdracht - Kennedyplein 101 - getekend.pdf</t>
        </is>
      </c>
      <c r="B31" s="14" t="n"/>
      <c r="C31" s="15" t="n"/>
      <c r="D31" s="14" t="n"/>
      <c r="E31" s="14" t="n"/>
      <c r="F31" s="14" t="n"/>
      <c r="G31" s="14" t="n"/>
      <c r="H31" s="14" t="n"/>
    </row>
    <row r="32" ht="28.8" customHeight="1">
      <c r="A32" s="14" t="inlineStr">
        <is>
          <t>Huurovereenkomst Bijster 5 te Breda getekend.pdf</t>
        </is>
      </c>
      <c r="B32" s="14" t="n"/>
      <c r="C32" s="15" t="inlineStr">
        <is>
          <t>Huurder huurt van Verhuurder tien parkeerplaatsen op het bij het gebouw behorende terrein.</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ht="28.8" customHeight="1">
      <c r="A35" s="14" t="inlineStr">
        <is>
          <t>Huurovereenkomst PBG Parallelweg 64 (beg.grond) 20121008.pdf</t>
        </is>
      </c>
      <c r="B35" s="14" t="n"/>
      <c r="C35" s="15" t="inlineStr">
        <is>
          <t>The tenant leases 13 parking spaces as part of the premises at Parallelweg 64, 's-Hertogenbosch.</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191.67</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83.33</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125.00</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inlineStr">
        <is>
          <t>62.50</t>
        </is>
      </c>
      <c r="D8" s="14" t="n"/>
      <c r="E8" s="14" t="n"/>
      <c r="F8" s="14" t="n"/>
      <c r="G8" s="14" t="n"/>
      <c r="H8" s="14" t="n">
        <v>0.9695876288659794</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250.00</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n"/>
      <c r="C11" s="15" t="n"/>
      <c r="D11" s="14" t="n"/>
      <c r="E11" s="14" t="n"/>
      <c r="F11" s="14" t="n"/>
      <c r="G11" s="14" t="n"/>
      <c r="H11" s="14" t="n"/>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n"/>
      <c r="C13" s="15" t="inlineStr">
        <is>
          <t>94.21</t>
        </is>
      </c>
      <c r="D13" s="14" t="n"/>
      <c r="E13" s="14" t="n"/>
      <c r="F13" s="14" t="n"/>
      <c r="G13" s="14" t="n"/>
      <c r="H13" s="14" t="n">
        <v>0.95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n"/>
      <c r="D16" s="14" t="n"/>
      <c r="E16" s="14" t="n"/>
      <c r="F16" s="14" t="n"/>
      <c r="G16" s="14" t="n"/>
      <c r="H16" s="14" t="n"/>
      <c r="K16" t="n">
        <v>100</v>
      </c>
      <c r="M16" t="inlineStr">
        <is>
          <t>FN</t>
        </is>
      </c>
    </row>
    <row r="17">
      <c r="A17" s="14" t="inlineStr">
        <is>
          <t>COMPL Huurovereenkomst - Stichting CCE - Kantoorgebouw Metzpoint I Dr. Holtroplaan - Fully Signed.pdf</t>
        </is>
      </c>
      <c r="B17" s="14" t="n"/>
      <c r="C17" s="15" t="inlineStr">
        <is>
          <t>54.17</t>
        </is>
      </c>
      <c r="D17" s="14" t="n"/>
      <c r="E17" s="14" t="n"/>
      <c r="F17" s="14" t="n"/>
      <c r="G17" s="14" t="n"/>
      <c r="H17" s="14" t="n">
        <v>0.95</v>
      </c>
      <c r="M17" t="inlineStr">
        <is>
          <t>TN</t>
        </is>
      </c>
    </row>
    <row r="18">
      <c r="A18" s="14" t="inlineStr">
        <is>
          <t>COMPL Regel Partners - HOVK - Luchthavenweg 81 - 20260728.pdf</t>
        </is>
      </c>
      <c r="B18" s="14" t="n"/>
      <c r="C18" s="15" t="inlineStr">
        <is>
          <t>62.50</t>
        </is>
      </c>
      <c r="D18" s="14" t="n"/>
      <c r="E18" s="14" t="n"/>
      <c r="F18" s="14" t="n"/>
      <c r="G18" s="14" t="n"/>
      <c r="H18" s="14" t="n">
        <v>0.9695876288659794</v>
      </c>
    </row>
    <row r="19">
      <c r="A19" s="14" t="inlineStr">
        <is>
          <t>COMPL_-_Onderhuurovereenkomst_Zelfstroom_B.V._-_50five_B.V._-_kantoorgebouw_Riva_-_05032026.pdf</t>
        </is>
      </c>
      <c r="B19" s="14" t="n"/>
      <c r="C19" s="15" t="inlineStr">
        <is>
          <t>2000.00</t>
        </is>
      </c>
      <c r="D19" s="14" t="n"/>
      <c r="E19" s="14" t="n"/>
      <c r="F19" s="14" t="n"/>
      <c r="G19" s="14" t="n"/>
      <c r="H19" s="14" t="n">
        <v>0.95</v>
      </c>
      <c r="K19" s="17" t="inlineStr">
        <is>
          <t>Field:</t>
        </is>
      </c>
      <c r="L19" t="inlineStr">
        <is>
          <t>parking / parking_cost_monthly</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inlineStr">
        <is>
          <t>151.16</t>
        </is>
      </c>
      <c r="D21" s="14" t="n"/>
      <c r="E21" s="14" t="n"/>
      <c r="F21" s="14" t="n"/>
      <c r="G21" s="14" t="n"/>
      <c r="H21" s="14" t="n">
        <v>0.95</v>
      </c>
    </row>
    <row r="22">
      <c r="A22" s="14" t="inlineStr">
        <is>
          <t>FULLY SIGNED - DEF_COMPL_Huurovereenkomst_Robo_Charge_-_Campus_Offices_-_20260220.pdf</t>
        </is>
      </c>
      <c r="B22" s="14" t="n"/>
      <c r="C22" s="15" t="inlineStr">
        <is>
          <t>62.50</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inlineStr">
        <is>
          <t>62.50</t>
        </is>
      </c>
      <c r="D24" s="14" t="n"/>
      <c r="E24" s="14" t="n"/>
      <c r="F24" s="14" t="n"/>
      <c r="G24" s="14" t="n"/>
      <c r="H24" s="14" t="n">
        <v>0.95</v>
      </c>
    </row>
    <row r="25">
      <c r="A25" s="14" t="inlineStr">
        <is>
          <t>FullySigned_Allonge_II_Virtual_Vaults_Nederland.pdf</t>
        </is>
      </c>
      <c r="B25" s="14" t="n"/>
      <c r="C25" s="15" t="inlineStr">
        <is>
          <t>100.00</t>
        </is>
      </c>
      <c r="D25" s="14" t="n"/>
      <c r="E25" s="14" t="n"/>
      <c r="F25" s="14" t="n"/>
      <c r="G25" s="14" t="n"/>
      <c r="H25" s="14" t="n">
        <v>0.9695876288659794</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n"/>
      <c r="C27" s="15" t="n"/>
      <c r="D27" s="14" t="n"/>
      <c r="E27" s="14" t="n"/>
      <c r="F27" s="14" t="n"/>
      <c r="G27" s="14" t="n"/>
      <c r="H27" s="14" t="n"/>
    </row>
    <row r="28">
      <c r="A28" s="14" t="inlineStr">
        <is>
          <t>Hovk Avans  (3e+4e+5e verd.) 20140425.pdf</t>
        </is>
      </c>
      <c r="B28" s="14" t="n"/>
      <c r="C28" s="15" t="n"/>
      <c r="D28" s="14" t="n"/>
      <c r="E28" s="14" t="n"/>
      <c r="F28" s="14" t="n"/>
      <c r="G28" s="14" t="n"/>
      <c r="H28" s="14" t="n"/>
    </row>
    <row r="29">
      <c r="A29" s="14" t="inlineStr">
        <is>
          <t>HOVK Power4People 2025.pdf</t>
        </is>
      </c>
      <c r="B29" s="14" t="n"/>
      <c r="C29" s="15" t="inlineStr">
        <is>
          <t>130.00</t>
        </is>
      </c>
      <c r="D29" s="14" t="n"/>
      <c r="E29" s="14" t="n"/>
      <c r="F29" s="14" t="n"/>
      <c r="G29" s="14" t="n"/>
      <c r="H29" s="14" t="n">
        <v>0.9695876288659794</v>
      </c>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inlineStr">
        <is>
          <t>41.67</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n"/>
      <c r="D35" s="14" t="n"/>
      <c r="E35" s="14" t="n"/>
      <c r="F35" s="14" t="n"/>
      <c r="G35" s="14" t="n"/>
      <c r="H35" s="14" t="n"/>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EUR</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EUR</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EUR</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inlineStr">
        <is>
          <t>EUR</t>
        </is>
      </c>
      <c r="D8" s="14" t="n"/>
      <c r="E8" s="14" t="n"/>
      <c r="F8" s="14" t="n"/>
      <c r="G8" s="14" t="n"/>
      <c r="H8" s="14" t="n">
        <v>0.9695876288659794</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EUR</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n"/>
      <c r="C11" s="15" t="n"/>
      <c r="D11" s="14" t="n"/>
      <c r="E11" s="14" t="n"/>
      <c r="F11" s="14" t="n"/>
      <c r="G11" s="14" t="n"/>
      <c r="H11" s="14" t="n"/>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n"/>
      <c r="C13" s="15" t="inlineStr">
        <is>
          <t>EUR</t>
        </is>
      </c>
      <c r="D13" s="14" t="n"/>
      <c r="E13" s="14" t="n"/>
      <c r="F13" s="14" t="n"/>
      <c r="G13" s="14" t="n"/>
      <c r="H13" s="14" t="n">
        <v>0.95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n"/>
      <c r="D16" s="14" t="n"/>
      <c r="E16" s="14" t="n"/>
      <c r="F16" s="14" t="n"/>
      <c r="G16" s="14" t="n"/>
      <c r="H16" s="14" t="n"/>
      <c r="K16" t="n">
        <v>100</v>
      </c>
      <c r="M16" t="inlineStr">
        <is>
          <t>FN</t>
        </is>
      </c>
    </row>
    <row r="17">
      <c r="A17" s="14" t="inlineStr">
        <is>
          <t>COMPL Huurovereenkomst - Stichting CCE - Kantoorgebouw Metzpoint I Dr. Holtroplaan - Fully Signed.pdf</t>
        </is>
      </c>
      <c r="B17" s="14" t="n"/>
      <c r="C17" s="15" t="inlineStr">
        <is>
          <t>EUR</t>
        </is>
      </c>
      <c r="D17" s="14" t="n"/>
      <c r="E17" s="14" t="n"/>
      <c r="F17" s="14" t="n"/>
      <c r="G17" s="14" t="n"/>
      <c r="H17" s="14" t="n">
        <v>0.95</v>
      </c>
      <c r="M17" t="inlineStr">
        <is>
          <t>TN</t>
        </is>
      </c>
    </row>
    <row r="18">
      <c r="A18" s="14" t="inlineStr">
        <is>
          <t>COMPL Regel Partners - HOVK - Luchthavenweg 81 - 20260728.pdf</t>
        </is>
      </c>
      <c r="B18" s="14" t="n"/>
      <c r="C18" s="15" t="inlineStr">
        <is>
          <t>EUR</t>
        </is>
      </c>
      <c r="D18" s="14" t="n"/>
      <c r="E18" s="14" t="n"/>
      <c r="F18" s="14" t="n"/>
      <c r="G18" s="14" t="n"/>
      <c r="H18" s="14" t="n">
        <v>0.9695876288659794</v>
      </c>
    </row>
    <row r="19">
      <c r="A19" s="14" t="inlineStr">
        <is>
          <t>COMPL_-_Onderhuurovereenkomst_Zelfstroom_B.V._-_50five_B.V._-_kantoorgebouw_Riva_-_05032026.pdf</t>
        </is>
      </c>
      <c r="B19" s="14" t="n"/>
      <c r="C19" s="15" t="inlineStr">
        <is>
          <t>EUR</t>
        </is>
      </c>
      <c r="D19" s="14" t="n"/>
      <c r="E19" s="14" t="n"/>
      <c r="F19" s="14" t="n"/>
      <c r="G19" s="14" t="n"/>
      <c r="H19" s="14" t="n">
        <v>0.95</v>
      </c>
      <c r="K19" s="17" t="inlineStr">
        <is>
          <t>Field:</t>
        </is>
      </c>
      <c r="L19" t="inlineStr">
        <is>
          <t>parking / parking_cost_monthly_uom</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inlineStr">
        <is>
          <t>EUR</t>
        </is>
      </c>
      <c r="D21" s="14" t="n"/>
      <c r="E21" s="14" t="n"/>
      <c r="F21" s="14" t="n"/>
      <c r="G21" s="14" t="n"/>
      <c r="H21" s="14" t="n">
        <v>0.95</v>
      </c>
    </row>
    <row r="22">
      <c r="A22" s="14" t="inlineStr">
        <is>
          <t>FULLY SIGNED - DEF_COMPL_Huurovereenkomst_Robo_Charge_-_Campus_Offices_-_20260220.pdf</t>
        </is>
      </c>
      <c r="B22" s="14" t="n"/>
      <c r="C22" s="15" t="inlineStr">
        <is>
          <t>EUR</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inlineStr">
        <is>
          <t>EUR</t>
        </is>
      </c>
      <c r="D24" s="14" t="n"/>
      <c r="E24" s="14" t="n"/>
      <c r="F24" s="14" t="n"/>
      <c r="G24" s="14" t="n"/>
      <c r="H24" s="14" t="n">
        <v>0.95</v>
      </c>
    </row>
    <row r="25">
      <c r="A25" s="14" t="inlineStr">
        <is>
          <t>FullySigned_Allonge_II_Virtual_Vaults_Nederland.pdf</t>
        </is>
      </c>
      <c r="B25" s="14" t="n"/>
      <c r="C25" s="15" t="inlineStr">
        <is>
          <t>EUR</t>
        </is>
      </c>
      <c r="D25" s="14" t="n"/>
      <c r="E25" s="14" t="n"/>
      <c r="F25" s="14" t="n"/>
      <c r="G25" s="14" t="n"/>
      <c r="H25" s="14" t="n">
        <v>0.9695876288659794</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n"/>
      <c r="C27" s="15" t="n"/>
      <c r="D27" s="14" t="n"/>
      <c r="E27" s="14" t="n"/>
      <c r="F27" s="14" t="n"/>
      <c r="G27" s="14" t="n"/>
      <c r="H27" s="14" t="n"/>
    </row>
    <row r="28">
      <c r="A28" s="14" t="inlineStr">
        <is>
          <t>Hovk Avans  (3e+4e+5e verd.) 20140425.pdf</t>
        </is>
      </c>
      <c r="B28" s="14" t="n"/>
      <c r="C28" s="15" t="n"/>
      <c r="D28" s="14" t="n"/>
      <c r="E28" s="14" t="n"/>
      <c r="F28" s="14" t="n"/>
      <c r="G28" s="14" t="n"/>
      <c r="H28" s="14" t="n"/>
    </row>
    <row r="29">
      <c r="A29" s="14" t="inlineStr">
        <is>
          <t>HOVK Power4People 2025.pdf</t>
        </is>
      </c>
      <c r="B29" s="14" t="n"/>
      <c r="C29" s="15" t="inlineStr">
        <is>
          <t>EUR</t>
        </is>
      </c>
      <c r="D29" s="14" t="n"/>
      <c r="E29" s="14" t="n"/>
      <c r="F29" s="14" t="n"/>
      <c r="G29" s="14" t="n"/>
      <c r="H29" s="14" t="n">
        <v>0.9695876288659794</v>
      </c>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inlineStr">
        <is>
          <t>EUR</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n"/>
      <c r="D35" s="14" t="n"/>
      <c r="E35" s="14" t="n"/>
      <c r="F35" s="14" t="n"/>
      <c r="G35" s="14" t="n"/>
      <c r="H35" s="14" t="n"/>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2300.00</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500.00</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1500.00</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inlineStr">
        <is>
          <t>750.00</t>
        </is>
      </c>
      <c r="D8" s="14" t="n"/>
      <c r="E8" s="14" t="n"/>
      <c r="F8" s="14" t="n"/>
      <c r="G8" s="14" t="n"/>
      <c r="H8" s="14" t="n">
        <v>0.9695876288659794</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3000.00</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n"/>
      <c r="C11" s="15" t="n"/>
      <c r="D11" s="14" t="n"/>
      <c r="E11" s="14" t="n"/>
      <c r="F11" s="14" t="n"/>
      <c r="G11" s="14" t="n"/>
      <c r="H11" s="14" t="n"/>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n"/>
      <c r="C13" s="15" t="inlineStr">
        <is>
          <t>1130.48</t>
        </is>
      </c>
      <c r="D13" s="14" t="n"/>
      <c r="E13" s="14" t="n"/>
      <c r="F13" s="14" t="n"/>
      <c r="G13" s="14" t="n"/>
      <c r="H13" s="14" t="n">
        <v>0.95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n"/>
      <c r="D16" s="14" t="n"/>
      <c r="E16" s="14" t="n"/>
      <c r="F16" s="14" t="n"/>
      <c r="G16" s="14" t="n"/>
      <c r="H16" s="14" t="n"/>
      <c r="K16" t="n">
        <v>100</v>
      </c>
      <c r="M16" t="inlineStr">
        <is>
          <t>FN</t>
        </is>
      </c>
    </row>
    <row r="17">
      <c r="A17" s="14" t="inlineStr">
        <is>
          <t>COMPL Huurovereenkomst - Stichting CCE - Kantoorgebouw Metzpoint I Dr. Holtroplaan - Fully Signed.pdf</t>
        </is>
      </c>
      <c r="B17" s="14" t="n"/>
      <c r="C17" s="15" t="inlineStr">
        <is>
          <t>650.00</t>
        </is>
      </c>
      <c r="D17" s="14" t="n"/>
      <c r="E17" s="14" t="n"/>
      <c r="F17" s="14" t="n"/>
      <c r="G17" s="14" t="n"/>
      <c r="H17" s="14" t="n">
        <v>0.95</v>
      </c>
      <c r="M17" t="inlineStr">
        <is>
          <t>TN</t>
        </is>
      </c>
    </row>
    <row r="18">
      <c r="A18" s="14" t="inlineStr">
        <is>
          <t>COMPL Regel Partners - HOVK - Luchthavenweg 81 - 20260728.pdf</t>
        </is>
      </c>
      <c r="B18" s="14" t="n"/>
      <c r="C18" s="15" t="inlineStr">
        <is>
          <t>750.00</t>
        </is>
      </c>
      <c r="D18" s="14" t="n"/>
      <c r="E18" s="14" t="n"/>
      <c r="F18" s="14" t="n"/>
      <c r="G18" s="14" t="n"/>
      <c r="H18" s="14" t="n">
        <v>0.9695876288659794</v>
      </c>
    </row>
    <row r="19">
      <c r="A19" s="14" t="inlineStr">
        <is>
          <t>COMPL_-_Onderhuurovereenkomst_Zelfstroom_B.V._-_50five_B.V._-_kantoorgebouw_Riva_-_05032026.pdf</t>
        </is>
      </c>
      <c r="B19" s="14" t="n"/>
      <c r="C19" s="15" t="inlineStr">
        <is>
          <t>1600.00</t>
        </is>
      </c>
      <c r="D19" s="14" t="n"/>
      <c r="E19" s="14" t="n"/>
      <c r="F19" s="14" t="n"/>
      <c r="G19" s="14" t="n"/>
      <c r="H19" s="14" t="n">
        <v>0.95</v>
      </c>
      <c r="K19" s="17" t="inlineStr">
        <is>
          <t>Field:</t>
        </is>
      </c>
      <c r="L19" t="inlineStr">
        <is>
          <t>parking / parking_cost_yearly</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inlineStr">
        <is>
          <t>1813.92</t>
        </is>
      </c>
      <c r="D21" s="14" t="n"/>
      <c r="E21" s="14" t="n"/>
      <c r="F21" s="14" t="n"/>
      <c r="G21" s="14" t="n"/>
      <c r="H21" s="14" t="n">
        <v>0.95</v>
      </c>
    </row>
    <row r="22">
      <c r="A22" s="14" t="inlineStr">
        <is>
          <t>FULLY SIGNED - DEF_COMPL_Huurovereenkomst_Robo_Charge_-_Campus_Offices_-_20260220.pdf</t>
        </is>
      </c>
      <c r="B22" s="14" t="n"/>
      <c r="C22" s="15" t="inlineStr">
        <is>
          <t>750.00</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inlineStr">
        <is>
          <t>750.00</t>
        </is>
      </c>
      <c r="D24" s="14" t="n"/>
      <c r="E24" s="14" t="n"/>
      <c r="F24" s="14" t="n"/>
      <c r="G24" s="14" t="n"/>
      <c r="H24" s="14" t="n">
        <v>0.95</v>
      </c>
    </row>
    <row r="25">
      <c r="A25" s="14" t="inlineStr">
        <is>
          <t>FullySigned_Allonge_II_Virtual_Vaults_Nederland.pdf</t>
        </is>
      </c>
      <c r="B25" s="14" t="n"/>
      <c r="C25" s="15" t="inlineStr">
        <is>
          <t>1200.00</t>
        </is>
      </c>
      <c r="D25" s="14" t="n"/>
      <c r="E25" s="14" t="n"/>
      <c r="F25" s="14" t="n"/>
      <c r="G25" s="14" t="n"/>
      <c r="H25" s="14" t="n">
        <v>0.9695876288659794</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n"/>
      <c r="C27" s="15" t="n"/>
      <c r="D27" s="14" t="n"/>
      <c r="E27" s="14" t="n"/>
      <c r="F27" s="14" t="n"/>
      <c r="G27" s="14" t="n"/>
      <c r="H27" s="14" t="n"/>
    </row>
    <row r="28">
      <c r="A28" s="14" t="inlineStr">
        <is>
          <t>Hovk Avans  (3e+4e+5e verd.) 20140425.pdf</t>
        </is>
      </c>
      <c r="B28" s="14" t="n"/>
      <c r="C28" s="15" t="n"/>
      <c r="D28" s="14" t="n"/>
      <c r="E28" s="14" t="n"/>
      <c r="F28" s="14" t="n"/>
      <c r="G28" s="14" t="n"/>
      <c r="H28" s="14" t="n"/>
    </row>
    <row r="29">
      <c r="A29" s="14" t="inlineStr">
        <is>
          <t>HOVK Power4People 2025.pdf</t>
        </is>
      </c>
      <c r="B29" s="14" t="n"/>
      <c r="C29" s="15" t="inlineStr">
        <is>
          <t>1560.00</t>
        </is>
      </c>
      <c r="D29" s="14" t="n"/>
      <c r="E29" s="14" t="n"/>
      <c r="F29" s="14" t="n"/>
      <c r="G29" s="14" t="n"/>
      <c r="H29" s="14" t="n">
        <v>0.9695876288659794</v>
      </c>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inlineStr">
        <is>
          <t>500.00</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n"/>
      <c r="D35" s="14" t="n"/>
      <c r="E35" s="14" t="n"/>
      <c r="F35" s="14" t="n"/>
      <c r="G35" s="14" t="n"/>
      <c r="H35" s="14" t="n"/>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EUR</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EUR</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EUR</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inlineStr">
        <is>
          <t>EUR</t>
        </is>
      </c>
      <c r="D8" s="14" t="n"/>
      <c r="E8" s="14" t="n"/>
      <c r="F8" s="14" t="n"/>
      <c r="G8" s="14" t="n"/>
      <c r="H8" s="14" t="n">
        <v>0.9695876288659794</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EUR</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n"/>
      <c r="C11" s="15" t="n"/>
      <c r="D11" s="14" t="n"/>
      <c r="E11" s="14" t="n"/>
      <c r="F11" s="14" t="n"/>
      <c r="G11" s="14" t="n"/>
      <c r="H11" s="14" t="n"/>
      <c r="K11" s="17" t="inlineStr">
        <is>
          <t>Validation Rules Example</t>
        </is>
      </c>
    </row>
    <row r="12">
      <c r="A12" s="14" t="inlineStr">
        <is>
          <t>240119 HOVK Spoorlaan 446-448 Tilburg signed.pdf</t>
        </is>
      </c>
      <c r="B12" s="14" t="n"/>
      <c r="C12" s="15" t="n"/>
      <c r="D12" s="14" t="n"/>
      <c r="E12" s="14" t="n"/>
      <c r="F12" s="14" t="n"/>
      <c r="G12" s="14" t="n"/>
      <c r="H12" s="14" t="n"/>
      <c r="K12" s="16" t="inlineStr">
        <is>
          <t>Manual Data</t>
        </is>
      </c>
      <c r="L12" s="16" t="inlineStr">
        <is>
          <t>Response Data</t>
        </is>
      </c>
      <c r="M12" s="16" t="inlineStr">
        <is>
          <t>Result</t>
        </is>
      </c>
    </row>
    <row r="13">
      <c r="A13" s="14" t="inlineStr">
        <is>
          <t>27001 Rijksvastgoedbedrijf Huurovereenkomst - __27-01-2026_9-07-56.pdf</t>
        </is>
      </c>
      <c r="B13" s="14" t="n"/>
      <c r="C13" s="15" t="inlineStr">
        <is>
          <t>EUR</t>
        </is>
      </c>
      <c r="D13" s="14" t="n"/>
      <c r="E13" s="14" t="n"/>
      <c r="F13" s="14" t="n"/>
      <c r="G13" s="14" t="n"/>
      <c r="H13" s="14" t="n">
        <v>0.95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n"/>
      <c r="D16" s="14" t="n"/>
      <c r="E16" s="14" t="n"/>
      <c r="F16" s="14" t="n"/>
      <c r="G16" s="14" t="n"/>
      <c r="H16" s="14" t="n"/>
      <c r="K16" t="n">
        <v>100</v>
      </c>
      <c r="M16" t="inlineStr">
        <is>
          <t>FN</t>
        </is>
      </c>
    </row>
    <row r="17">
      <c r="A17" s="14" t="inlineStr">
        <is>
          <t>COMPL Huurovereenkomst - Stichting CCE - Kantoorgebouw Metzpoint I Dr. Holtroplaan - Fully Signed.pdf</t>
        </is>
      </c>
      <c r="B17" s="14" t="n"/>
      <c r="C17" s="15" t="inlineStr">
        <is>
          <t>EUR</t>
        </is>
      </c>
      <c r="D17" s="14" t="n"/>
      <c r="E17" s="14" t="n"/>
      <c r="F17" s="14" t="n"/>
      <c r="G17" s="14" t="n"/>
      <c r="H17" s="14" t="n">
        <v>0.95</v>
      </c>
      <c r="M17" t="inlineStr">
        <is>
          <t>TN</t>
        </is>
      </c>
    </row>
    <row r="18">
      <c r="A18" s="14" t="inlineStr">
        <is>
          <t>COMPL Regel Partners - HOVK - Luchthavenweg 81 - 20260728.pdf</t>
        </is>
      </c>
      <c r="B18" s="14" t="n"/>
      <c r="C18" s="15" t="inlineStr">
        <is>
          <t>EUR</t>
        </is>
      </c>
      <c r="D18" s="14" t="n"/>
      <c r="E18" s="14" t="n"/>
      <c r="F18" s="14" t="n"/>
      <c r="G18" s="14" t="n"/>
      <c r="H18" s="14" t="n">
        <v>0.9695876288659794</v>
      </c>
    </row>
    <row r="19">
      <c r="A19" s="14" t="inlineStr">
        <is>
          <t>COMPL_-_Onderhuurovereenkomst_Zelfstroom_B.V._-_50five_B.V._-_kantoorgebouw_Riva_-_05032026.pdf</t>
        </is>
      </c>
      <c r="B19" s="14" t="n"/>
      <c r="C19" s="15" t="inlineStr">
        <is>
          <t>EUR</t>
        </is>
      </c>
      <c r="D19" s="14" t="n"/>
      <c r="E19" s="14" t="n"/>
      <c r="F19" s="14" t="n"/>
      <c r="G19" s="14" t="n"/>
      <c r="H19" s="14" t="n">
        <v>0.95</v>
      </c>
      <c r="K19" s="17" t="inlineStr">
        <is>
          <t>Field:</t>
        </is>
      </c>
      <c r="L19" t="inlineStr">
        <is>
          <t>parking / parking_cost_yearly_uom</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inlineStr">
        <is>
          <t>EUR</t>
        </is>
      </c>
      <c r="D21" s="14" t="n"/>
      <c r="E21" s="14" t="n"/>
      <c r="F21" s="14" t="n"/>
      <c r="G21" s="14" t="n"/>
      <c r="H21" s="14" t="n">
        <v>0.95</v>
      </c>
    </row>
    <row r="22">
      <c r="A22" s="14" t="inlineStr">
        <is>
          <t>FULLY SIGNED - DEF_COMPL_Huurovereenkomst_Robo_Charge_-_Campus_Offices_-_20260220.pdf</t>
        </is>
      </c>
      <c r="B22" s="14" t="n"/>
      <c r="C22" s="15" t="inlineStr">
        <is>
          <t>EUR</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inlineStr">
        <is>
          <t>EUR</t>
        </is>
      </c>
      <c r="D24" s="14" t="n"/>
      <c r="E24" s="14" t="n"/>
      <c r="F24" s="14" t="n"/>
      <c r="G24" s="14" t="n"/>
      <c r="H24" s="14" t="n">
        <v>0.95</v>
      </c>
    </row>
    <row r="25">
      <c r="A25" s="14" t="inlineStr">
        <is>
          <t>FullySigned_Allonge_II_Virtual_Vaults_Nederland.pdf</t>
        </is>
      </c>
      <c r="B25" s="14" t="n"/>
      <c r="C25" s="15" t="inlineStr">
        <is>
          <t>EUR</t>
        </is>
      </c>
      <c r="D25" s="14" t="n"/>
      <c r="E25" s="14" t="n"/>
      <c r="F25" s="14" t="n"/>
      <c r="G25" s="14" t="n"/>
      <c r="H25" s="14" t="n">
        <v>0.9695876288659794</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n"/>
      <c r="C27" s="15" t="n"/>
      <c r="D27" s="14" t="n"/>
      <c r="E27" s="14" t="n"/>
      <c r="F27" s="14" t="n"/>
      <c r="G27" s="14" t="n"/>
      <c r="H27" s="14" t="n"/>
    </row>
    <row r="28">
      <c r="A28" s="14" t="inlineStr">
        <is>
          <t>Hovk Avans  (3e+4e+5e verd.) 20140425.pdf</t>
        </is>
      </c>
      <c r="B28" s="14" t="n"/>
      <c r="C28" s="15" t="n"/>
      <c r="D28" s="14" t="n"/>
      <c r="E28" s="14" t="n"/>
      <c r="F28" s="14" t="n"/>
      <c r="G28" s="14" t="n"/>
      <c r="H28" s="14" t="n"/>
    </row>
    <row r="29">
      <c r="A29" s="14" t="inlineStr">
        <is>
          <t>HOVK Power4People 2025.pdf</t>
        </is>
      </c>
      <c r="B29" s="14" t="n"/>
      <c r="C29" s="15" t="inlineStr">
        <is>
          <t>EUR</t>
        </is>
      </c>
      <c r="D29" s="14" t="n"/>
      <c r="E29" s="14" t="n"/>
      <c r="F29" s="14" t="n"/>
      <c r="G29" s="14" t="n"/>
      <c r="H29" s="14" t="n">
        <v>0.9695876288659794</v>
      </c>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inlineStr">
        <is>
          <t>EUR</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n"/>
      <c r="D35" s="14" t="n"/>
      <c r="E35" s="14" t="n"/>
      <c r="F35" s="14" t="n"/>
      <c r="G35" s="14" t="n"/>
      <c r="H35" s="14" t="n"/>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Indoor</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n"/>
      <c r="D5" s="14" t="n"/>
      <c r="E5" s="14" t="n"/>
      <c r="F5" s="14" t="n"/>
      <c r="G5" s="14" t="n"/>
      <c r="H5" s="14" t="n"/>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Outdoor</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n"/>
      <c r="D8" s="14" t="n"/>
      <c r="E8" s="14" t="n"/>
      <c r="F8" s="14" t="n"/>
      <c r="G8" s="14" t="n"/>
      <c r="H8" s="14" t="n"/>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n"/>
      <c r="D10" s="14" t="n"/>
      <c r="E10" s="14" t="n"/>
      <c r="F10" s="14" t="n"/>
      <c r="G10" s="14" t="n"/>
      <c r="H10" s="14" t="n"/>
      <c r="K10" s="20" t="inlineStr">
        <is>
          <t>Highlighted rows = file(s) not in the annotation sheet; excluded from all metrics above.</t>
        </is>
      </c>
    </row>
    <row r="11">
      <c r="A11" s="14" t="inlineStr">
        <is>
          <t>20270801 - Getekende Allonge II Advario BV.pdf</t>
        </is>
      </c>
      <c r="B11" s="14" t="n"/>
      <c r="C11" s="15" t="inlineStr">
        <is>
          <t>Indoor</t>
        </is>
      </c>
      <c r="D11" s="14" t="n"/>
      <c r="E11" s="14" t="n"/>
      <c r="F11" s="14" t="n"/>
      <c r="G11" s="14" t="n"/>
      <c r="H11" s="14" t="n">
        <v>0.95</v>
      </c>
      <c r="K11" s="17" t="inlineStr">
        <is>
          <t>Validation Rules Example</t>
        </is>
      </c>
    </row>
    <row r="12">
      <c r="A12" s="14" t="inlineStr">
        <is>
          <t>240119 HOVK Spoorlaan 446-448 Tilburg signed.pdf</t>
        </is>
      </c>
      <c r="B12" s="14" t="n"/>
      <c r="C12" s="15" t="inlineStr">
        <is>
          <t>Outdoor</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n"/>
      <c r="D13" s="14" t="n"/>
      <c r="E13" s="14" t="n"/>
      <c r="F13" s="14" t="n"/>
      <c r="G13" s="14" t="n"/>
      <c r="H13" s="14" t="n"/>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n"/>
      <c r="D16" s="14" t="n"/>
      <c r="E16" s="14" t="n"/>
      <c r="F16" s="14" t="n"/>
      <c r="G16" s="14" t="n"/>
      <c r="H16" s="14" t="n"/>
      <c r="K16" t="n">
        <v>100</v>
      </c>
      <c r="M16" t="inlineStr">
        <is>
          <t>FN</t>
        </is>
      </c>
    </row>
    <row r="17">
      <c r="A17" s="14" t="inlineStr">
        <is>
          <t>COMPL Huurovereenkomst - Stichting CCE - Kantoorgebouw Metzpoint I Dr. Holtroplaan - Fully Signed.pdf</t>
        </is>
      </c>
      <c r="B17" s="14" t="n"/>
      <c r="C17" s="15" t="n"/>
      <c r="D17" s="14" t="n"/>
      <c r="E17" s="14" t="n"/>
      <c r="F17" s="14" t="n"/>
      <c r="G17" s="14" t="n"/>
      <c r="H17" s="14" t="n"/>
      <c r="M17" t="inlineStr">
        <is>
          <t>TN</t>
        </is>
      </c>
    </row>
    <row r="18">
      <c r="A18" s="14" t="inlineStr">
        <is>
          <t>COMPL Regel Partners - HOVK - Luchthavenweg 81 - 20260728.pdf</t>
        </is>
      </c>
      <c r="B18" s="14" t="n"/>
      <c r="C18" s="15" t="inlineStr">
        <is>
          <t>Outdoor</t>
        </is>
      </c>
      <c r="D18" s="14" t="n"/>
      <c r="E18" s="14" t="n"/>
      <c r="F18" s="14" t="n"/>
      <c r="G18" s="14" t="n"/>
      <c r="H18" s="14" t="n">
        <v>0.9695876288659794</v>
      </c>
    </row>
    <row r="19">
      <c r="A19" s="14" t="inlineStr">
        <is>
          <t>COMPL_-_Onderhuurovereenkomst_Zelfstroom_B.V._-_50five_B.V._-_kantoorgebouw_Riva_-_05032026.pdf</t>
        </is>
      </c>
      <c r="B19" s="14" t="n"/>
      <c r="C19" s="15" t="inlineStr">
        <is>
          <t>Indoor</t>
        </is>
      </c>
      <c r="D19" s="14" t="n"/>
      <c r="E19" s="14" t="n"/>
      <c r="F19" s="14" t="n"/>
      <c r="G19" s="14" t="n"/>
      <c r="H19" s="14" t="n">
        <v>0.95</v>
      </c>
      <c r="K19" s="17" t="inlineStr">
        <is>
          <t>Field:</t>
        </is>
      </c>
      <c r="L19" t="inlineStr">
        <is>
          <t>parking / parking_sub_type_desc</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n"/>
      <c r="D21" s="14" t="n"/>
      <c r="E21" s="14" t="n"/>
      <c r="F21" s="14" t="n"/>
      <c r="G21" s="14" t="n"/>
      <c r="H21" s="14" t="n"/>
    </row>
    <row r="22">
      <c r="A22" s="14" t="inlineStr">
        <is>
          <t>FULLY SIGNED - DEF_COMPL_Huurovereenkomst_Robo_Charge_-_Campus_Offices_-_20260220.pdf</t>
        </is>
      </c>
      <c r="B22" s="14" t="n"/>
      <c r="C22" s="15" t="n"/>
      <c r="D22" s="14" t="n"/>
      <c r="E22" s="14" t="n"/>
      <c r="F22" s="14" t="n"/>
      <c r="G22" s="14" t="n"/>
      <c r="H22" s="14" t="n"/>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inlineStr">
        <is>
          <t>Indoor</t>
        </is>
      </c>
      <c r="D24" s="14" t="n"/>
      <c r="E24" s="14" t="n"/>
      <c r="F24" s="14" t="n"/>
      <c r="G24" s="14" t="n"/>
      <c r="H24" s="14" t="n">
        <v>0.95</v>
      </c>
    </row>
    <row r="25">
      <c r="A25" s="14" t="inlineStr">
        <is>
          <t>FullySigned_Allonge_II_Virtual_Vaults_Nederland.pdf</t>
        </is>
      </c>
      <c r="B25" s="14" t="n"/>
      <c r="C25" s="15" t="n"/>
      <c r="D25" s="14" t="n"/>
      <c r="E25" s="14" t="n"/>
      <c r="F25" s="14" t="n"/>
      <c r="G25" s="14" t="n"/>
      <c r="H25" s="14" t="n"/>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n"/>
      <c r="C27" s="15" t="inlineStr">
        <is>
          <t>Outdoor</t>
        </is>
      </c>
      <c r="D27" s="14" t="n"/>
      <c r="E27" s="14" t="n"/>
      <c r="F27" s="14" t="n"/>
      <c r="G27" s="14" t="n"/>
      <c r="H27" s="14" t="n">
        <v>0.9695876288659794</v>
      </c>
    </row>
    <row r="28">
      <c r="A28" s="14" t="inlineStr">
        <is>
          <t>Hovk Avans  (3e+4e+5e verd.) 20140425.pdf</t>
        </is>
      </c>
      <c r="B28" s="14" t="n"/>
      <c r="C28" s="15" t="inlineStr">
        <is>
          <t>Outdoor</t>
        </is>
      </c>
      <c r="D28" s="14" t="n"/>
      <c r="E28" s="14" t="n"/>
      <c r="F28" s="14" t="n"/>
      <c r="G28" s="14" t="n"/>
      <c r="H28" s="14" t="n">
        <v>0.95</v>
      </c>
    </row>
    <row r="29">
      <c r="A29" s="14" t="inlineStr">
        <is>
          <t>HOVK Power4People 2025.pdf</t>
        </is>
      </c>
      <c r="B29" s="14" t="n"/>
      <c r="C29" s="15" t="n"/>
      <c r="D29" s="14" t="n"/>
      <c r="E29" s="14" t="n"/>
      <c r="F29" s="14" t="n"/>
      <c r="G29" s="14" t="n"/>
      <c r="H29" s="14" t="n"/>
    </row>
    <row r="30">
      <c r="A30" s="14" t="inlineStr">
        <is>
          <t>Huurovereenkomst (Semmie Group B.V.) - Wilhelminasingel 19, Breda.pdf</t>
        </is>
      </c>
      <c r="B30" s="14" t="n"/>
      <c r="C30" s="15" t="n"/>
      <c r="D30" s="14" t="n"/>
      <c r="E30" s="14" t="n"/>
      <c r="F30" s="14" t="n"/>
      <c r="G30" s="14" t="n"/>
      <c r="H30" s="14" t="n"/>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n"/>
      <c r="D32" s="14" t="n"/>
      <c r="E32" s="14" t="n"/>
      <c r="F32" s="14" t="n"/>
      <c r="G32" s="14" t="n"/>
      <c r="H32" s="14" t="n"/>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n"/>
      <c r="D35" s="14" t="n"/>
      <c r="E35" s="14" t="n"/>
      <c r="F35" s="14" t="n"/>
      <c r="G35" s="14" t="n"/>
      <c r="H35" s="14" t="n"/>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 customWidth="1" min="1" max="2"/>
    <col width="60" customWidth="1" min="3" max="3"/>
    <col width="10" customWidth="1" min="4" max="4"/>
    <col width="14" customWidth="1" min="5" max="5"/>
    <col width="18" customWidth="1" min="6" max="6"/>
    <col width="11" customWidth="1" min="7" max="7"/>
    <col width="16" customWidth="1" min="8" max="8"/>
    <col width="30" customWidth="1" min="11" max="11"/>
    <col width="14" customWidth="1" min="12" max="12"/>
    <col width="10" customWidth="1" min="13" max="13"/>
    <col width="30" customWidth="1" min="14" max="14"/>
    <col width="14" customWidth="1" min="15" max="15"/>
  </cols>
  <sheetData>
    <row r="1" ht="15.6" customHeight="1">
      <c r="A1" s="2" t="inlineStr">
        <is>
          <t>Doc Name</t>
        </is>
      </c>
      <c r="B1" s="2" t="inlineStr">
        <is>
          <t>Manual Data</t>
        </is>
      </c>
      <c r="C1" s="2" t="inlineStr">
        <is>
          <t>Response Data</t>
        </is>
      </c>
      <c r="D1" s="2" t="inlineStr">
        <is>
          <t>Result</t>
        </is>
      </c>
      <c r="E1" s="2" t="inlineStr">
        <is>
          <t>Manual Pg</t>
        </is>
      </c>
      <c r="F1" s="2" t="inlineStr">
        <is>
          <t>Response Pg No</t>
        </is>
      </c>
      <c r="G1" s="2" t="inlineStr">
        <is>
          <t>Pg Result</t>
        </is>
      </c>
      <c r="H1" s="2" t="inlineStr">
        <is>
          <t>Confidence</t>
        </is>
      </c>
      <c r="K1" s="13" t="inlineStr">
        <is>
          <t>SUMMARY SHEET</t>
        </is>
      </c>
      <c r="N1" s="13" t="inlineStr">
        <is>
          <t>PAGE SUMMARY SHEET</t>
        </is>
      </c>
    </row>
    <row r="2">
      <c r="A2" s="14" t="inlineStr">
        <is>
          <t>20181204 Huurovereenkomst (GETEKEND).PDF</t>
        </is>
      </c>
      <c r="B2" s="14" t="n"/>
      <c r="C2" s="15" t="n"/>
      <c r="D2" s="14" t="n"/>
      <c r="E2" s="14" t="n"/>
      <c r="F2" s="14" t="n"/>
      <c r="G2" s="14" t="n"/>
      <c r="H2" s="14" t="n"/>
      <c r="K2" s="16" t="inlineStr">
        <is>
          <t>Metrics</t>
        </is>
      </c>
      <c r="L2" s="16" t="inlineStr">
        <is>
          <t>Percentage</t>
        </is>
      </c>
      <c r="N2" s="16" t="inlineStr">
        <is>
          <t>Metrics</t>
        </is>
      </c>
      <c r="O2" s="16" t="inlineStr">
        <is>
          <t>Percentage</t>
        </is>
      </c>
    </row>
    <row r="3">
      <c r="A3" s="14" t="inlineStr">
        <is>
          <t>2024.10.30_Office Rental Agreement Labs_Gruyter Fabriek.pdf</t>
        </is>
      </c>
      <c r="B3" s="14" t="n"/>
      <c r="C3" s="15" t="n"/>
      <c r="D3" s="14" t="n"/>
      <c r="E3" s="14" t="n"/>
      <c r="F3" s="14" t="n"/>
      <c r="G3" s="14" t="n"/>
      <c r="H3" s="14" t="n"/>
      <c r="K3" s="17" t="inlineStr">
        <is>
          <t>Precision</t>
        </is>
      </c>
      <c r="L3" s="18">
        <f>IFERROR(COUNTIFS(D2:D36,"TP")/(COUNTIFS(D2:D36,"TP")+COUNTIFS(D2:D36,"FP")),0)</f>
        <v/>
      </c>
      <c r="N3" s="17" t="inlineStr">
        <is>
          <t>Precision</t>
        </is>
      </c>
      <c r="O3" s="18">
        <f>IFERROR(COUNTIFS(G2:G36,"TP")/(COUNTIFS(G2:G36,"TP")+COUNTIFS(G2:G36,"FP")),0)</f>
        <v/>
      </c>
    </row>
    <row r="4">
      <c r="A4" s="14" t="inlineStr">
        <is>
          <t>20240606_HOK AKD - EDGE Eindhoven execution version.pdf</t>
        </is>
      </c>
      <c r="B4" s="14" t="n"/>
      <c r="C4" s="15" t="inlineStr">
        <is>
          <t>CarParking1</t>
        </is>
      </c>
      <c r="D4" s="14" t="n"/>
      <c r="E4" s="14" t="n"/>
      <c r="F4" s="14" t="n"/>
      <c r="G4" s="14" t="n"/>
      <c r="H4" s="14" t="n">
        <v>0.9695876288659794</v>
      </c>
      <c r="K4" s="17" t="inlineStr">
        <is>
          <t>Recall</t>
        </is>
      </c>
      <c r="L4" s="18">
        <f>IFERROR(COUNTIFS(D2:D36,"TP")/(COUNTIFS(D2:D36,"TP")+COUNTIFS(D2:D36,"FN")),0)</f>
        <v/>
      </c>
      <c r="N4" s="17" t="inlineStr">
        <is>
          <t>Recall</t>
        </is>
      </c>
      <c r="O4" s="18">
        <f>IFERROR(COUNTIFS(G2:G36,"TP")/(COUNTIFS(G2:G36,"TP")+COUNTIFS(G2:G36,"FN")),0)</f>
        <v/>
      </c>
    </row>
    <row r="5">
      <c r="A5" s="14" t="inlineStr">
        <is>
          <t>20250117_HOK Duke Strategies - Hambaken A.05.09 DEF FULLY SIGNED.pdf</t>
        </is>
      </c>
      <c r="B5" s="14" t="n"/>
      <c r="C5" s="15" t="inlineStr">
        <is>
          <t>CarParking1</t>
        </is>
      </c>
      <c r="D5" s="14" t="n"/>
      <c r="E5" s="14" t="n"/>
      <c r="F5" s="14" t="n"/>
      <c r="G5" s="14" t="n"/>
      <c r="H5" s="14" t="n">
        <v>0.95</v>
      </c>
      <c r="K5" s="17" t="inlineStr">
        <is>
          <t>F1 Score</t>
        </is>
      </c>
      <c r="L5" s="18">
        <f>IFERROR(2*COUNTIFS(D2:D36,"TP")/(2*COUNTIFS(D2:D36,"TP")+COUNTIFS(D2:D36,"FP")+COUNTIFS(D2:D36,"FN")),0)</f>
        <v/>
      </c>
      <c r="N5" s="17" t="inlineStr">
        <is>
          <t>F1 Score</t>
        </is>
      </c>
      <c r="O5" s="18">
        <f>IFERROR(2*COUNTIFS(G2:G36,"TP")/(2*COUNTIFS(G2:G36,"TP")+COUNTIFS(G2:G36,"FP")+COUNTIFS(G2:G36,"FN")),0)</f>
        <v/>
      </c>
    </row>
    <row r="6">
      <c r="A6" s="14" t="inlineStr">
        <is>
          <t>20251216 Lease agreement ASPEN - signed.pdf</t>
        </is>
      </c>
      <c r="B6" s="14" t="n"/>
      <c r="C6" s="15" t="n"/>
      <c r="D6" s="14" t="n"/>
      <c r="E6" s="14" t="n"/>
      <c r="F6" s="14" t="n"/>
      <c r="G6" s="14" t="n"/>
      <c r="H6" s="14" t="n"/>
      <c r="K6" s="17" t="inlineStr">
        <is>
          <t>Accuracy % (With Not Exist)</t>
        </is>
      </c>
      <c r="L6" s="18">
        <f>IFERROR((COUNTIF(D2:D36,"TP")+COUNTIF(D2:D36,"TN"))/SUM(COUNTIF(D2:D36,{"TP","TN","FP","FN"})),0)</f>
        <v/>
      </c>
      <c r="N6" s="17" t="inlineStr">
        <is>
          <t>Accuracy % (With Not Exist)</t>
        </is>
      </c>
      <c r="O6" s="18">
        <f>IFERROR((COUNTIF(G2:G36,"TP")+COUNTIF(G2:G36,"TN"))/SUM(COUNTIF(G2:G36,{"TP","TN","FP","FN"})),0)</f>
        <v/>
      </c>
    </row>
    <row r="7">
      <c r="A7" s="14" t="inlineStr">
        <is>
          <t>20260220 Huurovereenkomst signed 20-02-2026.pdf</t>
        </is>
      </c>
      <c r="B7" s="14" t="n"/>
      <c r="C7" s="15" t="inlineStr">
        <is>
          <t>CarParking1</t>
        </is>
      </c>
      <c r="D7" s="14" t="n"/>
      <c r="E7" s="14" t="n"/>
      <c r="F7" s="14" t="n"/>
      <c r="G7" s="14" t="n"/>
      <c r="H7" s="14" t="n">
        <v>0.95</v>
      </c>
      <c r="K7" s="17" t="inlineStr">
        <is>
          <t>Total Docs Tested</t>
        </is>
      </c>
      <c r="L7" s="19">
        <f>COUNTA(A2:A36)</f>
        <v/>
      </c>
      <c r="N7" s="17" t="inlineStr">
        <is>
          <t>Total Docs Tested</t>
        </is>
      </c>
      <c r="O7" s="19">
        <f>COUNTA(A2:A36)</f>
        <v/>
      </c>
    </row>
    <row r="8">
      <c r="A8" s="14" t="inlineStr">
        <is>
          <t>20260629 HOK ADHDcentraal BV (1).pdf</t>
        </is>
      </c>
      <c r="B8" s="14" t="n"/>
      <c r="C8" s="15" t="inlineStr">
        <is>
          <t>CarParking1</t>
        </is>
      </c>
      <c r="D8" s="14" t="n"/>
      <c r="E8" s="14" t="n"/>
      <c r="F8" s="14" t="n"/>
      <c r="G8" s="14" t="n"/>
      <c r="H8" s="14" t="n">
        <v>0.9695876288659794</v>
      </c>
      <c r="K8" s="17" t="inlineStr">
        <is>
          <t>No Of Docs With Data</t>
        </is>
      </c>
      <c r="L8" s="19">
        <f>COUNTIFS(B2:B36,"&lt;&gt;",B2:B36,"&lt;&gt;N/A",B2:B36,"&lt;&gt;Not Present In the Document",B2:B36,"&lt;&gt;Not Found",B2:B36,"&lt;&gt;i dont know",B2:B36,"&lt;&gt;i don't know")</f>
        <v/>
      </c>
      <c r="N8" s="17" t="inlineStr">
        <is>
          <t>No Of Docs With Manual Pg</t>
        </is>
      </c>
      <c r="O8" s="19">
        <f>COUNTIFS(E2:E36,"&lt;&gt;",E2:E36,"&lt;&gt;N/A",E2:E36,"&lt;&gt;Not Present In the Document",E2:E36,"&lt;&gt;Not Found",E2:E36,"&lt;&gt;i dont know",E2:E36,"&lt;&gt;i don't know")</f>
        <v/>
      </c>
    </row>
    <row r="9">
      <c r="A9" s="14" t="inlineStr">
        <is>
          <t>20260807_Happy_Village_B.V._Lease_Maasstadweg_tekenversie_incl._bijlagen en-GB.pdf</t>
        </is>
      </c>
      <c r="B9" s="14" t="n"/>
      <c r="C9" s="15" t="n"/>
      <c r="D9" s="14" t="n"/>
      <c r="E9" s="14" t="n"/>
      <c r="F9" s="14" t="n"/>
      <c r="G9" s="14" t="n"/>
      <c r="H9" s="14" t="n"/>
      <c r="K9" s="17" t="inlineStr">
        <is>
          <t>No Of Docs With Response</t>
        </is>
      </c>
      <c r="L9" s="19">
        <f>COUNTIFS(C2:C36,"&lt;&gt;")</f>
        <v/>
      </c>
      <c r="N9" s="17" t="inlineStr">
        <is>
          <t>No Of Docs With Response Pg</t>
        </is>
      </c>
      <c r="O9" s="19">
        <f>COUNTIFS(F2:F36,"&lt;&gt;")</f>
        <v/>
      </c>
    </row>
    <row r="10">
      <c r="A10" s="14" t="inlineStr">
        <is>
          <t>20260810 HOK ClustR BV.pdf</t>
        </is>
      </c>
      <c r="B10" s="14" t="n"/>
      <c r="C10" s="15" t="inlineStr">
        <is>
          <t>CarParking1</t>
        </is>
      </c>
      <c r="D10" s="14" t="n"/>
      <c r="E10" s="14" t="n"/>
      <c r="F10" s="14" t="n"/>
      <c r="G10" s="14" t="n"/>
      <c r="H10" s="14" t="n">
        <v>0.9695876288659794</v>
      </c>
      <c r="K10" s="20" t="inlineStr">
        <is>
          <t>Highlighted rows = file(s) not in the annotation sheet; excluded from all metrics above.</t>
        </is>
      </c>
    </row>
    <row r="11">
      <c r="A11" s="14" t="inlineStr">
        <is>
          <t>20270801 - Getekende Allonge II Advario BV.pdf</t>
        </is>
      </c>
      <c r="B11" s="14" t="n"/>
      <c r="C11" s="15" t="inlineStr">
        <is>
          <t>CarParking1</t>
        </is>
      </c>
      <c r="D11" s="14" t="n"/>
      <c r="E11" s="14" t="n"/>
      <c r="F11" s="14" t="n"/>
      <c r="G11" s="14" t="n"/>
      <c r="H11" s="14" t="n">
        <v>0.95</v>
      </c>
      <c r="K11" s="17" t="inlineStr">
        <is>
          <t>Validation Rules Example</t>
        </is>
      </c>
    </row>
    <row r="12">
      <c r="A12" s="14" t="inlineStr">
        <is>
          <t>240119 HOVK Spoorlaan 446-448 Tilburg signed.pdf</t>
        </is>
      </c>
      <c r="B12" s="14" t="n"/>
      <c r="C12" s="15" t="inlineStr">
        <is>
          <t>CarParking1</t>
        </is>
      </c>
      <c r="D12" s="14" t="n"/>
      <c r="E12" s="14" t="n"/>
      <c r="F12" s="14" t="n"/>
      <c r="G12" s="14" t="n"/>
      <c r="H12" s="14" t="n">
        <v>0.95</v>
      </c>
      <c r="K12" s="16" t="inlineStr">
        <is>
          <t>Manual Data</t>
        </is>
      </c>
      <c r="L12" s="16" t="inlineStr">
        <is>
          <t>Response Data</t>
        </is>
      </c>
      <c r="M12" s="16" t="inlineStr">
        <is>
          <t>Result</t>
        </is>
      </c>
    </row>
    <row r="13">
      <c r="A13" s="14" t="inlineStr">
        <is>
          <t>27001 Rijksvastgoedbedrijf Huurovereenkomst - __27-01-2026_9-07-56.pdf</t>
        </is>
      </c>
      <c r="B13" s="14" t="n"/>
      <c r="C13" s="15" t="inlineStr">
        <is>
          <t>CarParking1</t>
        </is>
      </c>
      <c r="D13" s="14" t="n"/>
      <c r="E13" s="14" t="n"/>
      <c r="F13" s="14" t="n"/>
      <c r="G13" s="14" t="n"/>
      <c r="H13" s="14" t="n">
        <v>0.95</v>
      </c>
      <c r="K13" t="n">
        <v>100</v>
      </c>
      <c r="L13" t="n">
        <v>100</v>
      </c>
      <c r="M13" t="inlineStr">
        <is>
          <t>TP</t>
        </is>
      </c>
    </row>
    <row r="14">
      <c r="A14" s="14" t="inlineStr">
        <is>
          <t>CBRE_AT_Services_ENG_-_RITUALS_CBRE signed.pdf</t>
        </is>
      </c>
      <c r="B14" s="14" t="n"/>
      <c r="C14" s="15" t="n"/>
      <c r="D14" s="14" t="n"/>
      <c r="E14" s="14" t="n"/>
      <c r="F14" s="14" t="n"/>
      <c r="G14" s="14" t="n"/>
      <c r="H14" s="14" t="n"/>
      <c r="L14" t="n">
        <v>100</v>
      </c>
      <c r="M14" t="inlineStr">
        <is>
          <t>FP</t>
        </is>
      </c>
    </row>
    <row r="15">
      <c r="A15" s="14" t="inlineStr">
        <is>
          <t>CBRE_Engagement_Letter_Alnylam_20260525_CLEAN_Version_signed all.pdf</t>
        </is>
      </c>
      <c r="B15" s="14" t="n"/>
      <c r="C15" s="15" t="n"/>
      <c r="D15" s="14" t="n"/>
      <c r="E15" s="14" t="n"/>
      <c r="F15" s="14" t="n"/>
      <c r="G15" s="14" t="n"/>
      <c r="H15" s="14" t="n"/>
      <c r="K15" t="n">
        <v>100</v>
      </c>
      <c r="L15" t="n">
        <v>200</v>
      </c>
      <c r="M15" t="inlineStr">
        <is>
          <t>FP</t>
        </is>
      </c>
    </row>
    <row r="16">
      <c r="A16" s="14" t="inlineStr">
        <is>
          <t>COMPL DEF Huurovereenkomst - Skybox - Pepperl+Fuchs - 20260204.pdf</t>
        </is>
      </c>
      <c r="B16" s="14" t="n"/>
      <c r="C16" s="15" t="inlineStr">
        <is>
          <t>CarParking1</t>
        </is>
      </c>
      <c r="D16" s="14" t="n"/>
      <c r="E16" s="14" t="n"/>
      <c r="F16" s="14" t="n"/>
      <c r="G16" s="14" t="n"/>
      <c r="H16" s="14" t="n">
        <v>0.95</v>
      </c>
      <c r="K16" t="n">
        <v>100</v>
      </c>
      <c r="M16" t="inlineStr">
        <is>
          <t>FN</t>
        </is>
      </c>
    </row>
    <row r="17">
      <c r="A17" s="14" t="inlineStr">
        <is>
          <t>COMPL Huurovereenkomst - Stichting CCE - Kantoorgebouw Metzpoint I Dr. Holtroplaan - Fully Signed.pdf</t>
        </is>
      </c>
      <c r="B17" s="14" t="n"/>
      <c r="C17" s="15" t="inlineStr">
        <is>
          <t>CarParking1</t>
        </is>
      </c>
      <c r="D17" s="14" t="n"/>
      <c r="E17" s="14" t="n"/>
      <c r="F17" s="14" t="n"/>
      <c r="G17" s="14" t="n"/>
      <c r="H17" s="14" t="n">
        <v>0.95</v>
      </c>
      <c r="M17" t="inlineStr">
        <is>
          <t>TN</t>
        </is>
      </c>
    </row>
    <row r="18">
      <c r="A18" s="14" t="inlineStr">
        <is>
          <t>COMPL Regel Partners - HOVK - Luchthavenweg 81 - 20260728.pdf</t>
        </is>
      </c>
      <c r="B18" s="14" t="n"/>
      <c r="C18" s="15" t="inlineStr">
        <is>
          <t>CarParking1</t>
        </is>
      </c>
      <c r="D18" s="14" t="n"/>
      <c r="E18" s="14" t="n"/>
      <c r="F18" s="14" t="n"/>
      <c r="G18" s="14" t="n"/>
      <c r="H18" s="14" t="n">
        <v>0.9695876288659794</v>
      </c>
    </row>
    <row r="19">
      <c r="A19" s="14" t="inlineStr">
        <is>
          <t>COMPL_-_Onderhuurovereenkomst_Zelfstroom_B.V._-_50five_B.V._-_kantoorgebouw_Riva_-_05032026.pdf</t>
        </is>
      </c>
      <c r="B19" s="14" t="n"/>
      <c r="C19" s="15" t="inlineStr">
        <is>
          <t>CarParking1</t>
        </is>
      </c>
      <c r="D19" s="14" t="n"/>
      <c r="E19" s="14" t="n"/>
      <c r="F19" s="14" t="n"/>
      <c r="G19" s="14" t="n"/>
      <c r="H19" s="14" t="n">
        <v>0.95</v>
      </c>
      <c r="K19" s="17" t="inlineStr">
        <is>
          <t>Field:</t>
        </is>
      </c>
      <c r="L19" t="inlineStr">
        <is>
          <t>parking / parking_type_desc</t>
        </is>
      </c>
    </row>
    <row r="20">
      <c r="A20" s="14" t="inlineStr">
        <is>
          <t>Den Bosch, Ruwekampweg 4, HOVK getekend.pdf</t>
        </is>
      </c>
      <c r="B20" s="14" t="n"/>
      <c r="C20" s="15" t="n"/>
      <c r="D20" s="14" t="n"/>
      <c r="E20" s="14" t="n"/>
      <c r="F20" s="14" t="n"/>
      <c r="G20" s="14" t="n"/>
      <c r="H20" s="14" t="n"/>
    </row>
    <row r="21">
      <c r="A21" s="14" t="inlineStr">
        <is>
          <t>FULLY SIGNED - COMPL Huurovereenkomst - Heijmans - Hugo de Grootlaan 23 's-Hertogenbosch V2 30-9-2025.pdf</t>
        </is>
      </c>
      <c r="B21" s="14" t="n"/>
      <c r="C21" s="15" t="inlineStr">
        <is>
          <t>CarParking1</t>
        </is>
      </c>
      <c r="D21" s="14" t="n"/>
      <c r="E21" s="14" t="n"/>
      <c r="F21" s="14" t="n"/>
      <c r="G21" s="14" t="n"/>
      <c r="H21" s="14" t="n">
        <v>0.95</v>
      </c>
    </row>
    <row r="22">
      <c r="A22" s="14" t="inlineStr">
        <is>
          <t>FULLY SIGNED - DEF_COMPL_Huurovereenkomst_Robo_Charge_-_Campus_Offices_-_20260220.pdf</t>
        </is>
      </c>
      <c r="B22" s="14" t="n"/>
      <c r="C22" s="15" t="inlineStr">
        <is>
          <t>CarParking1</t>
        </is>
      </c>
      <c r="D22" s="14" t="n"/>
      <c r="E22" s="14" t="n"/>
      <c r="F22" s="14" t="n"/>
      <c r="G22" s="14" t="n"/>
      <c r="H22" s="14" t="n">
        <v>0.9695876288659794</v>
      </c>
    </row>
    <row r="23">
      <c r="A23" s="14" t="inlineStr">
        <is>
          <t>FULLY SIGNED - Onderhuurovereenkomst Aartshertogenlaan 223, `s-Hertogenbosch - Koning Willem I College B.V. 2606202.pdf</t>
        </is>
      </c>
      <c r="B23" s="14" t="n"/>
      <c r="C23" s="15" t="n"/>
      <c r="D23" s="14" t="n"/>
      <c r="E23" s="14" t="n"/>
      <c r="F23" s="14" t="n"/>
      <c r="G23" s="14" t="n"/>
      <c r="H23" s="14" t="n"/>
    </row>
    <row r="24">
      <c r="A24" s="14" t="inlineStr">
        <is>
          <t>FULLY SIGNED COMPL_DEF_Huurovereenkomst_Bond_Bergschot_Breda.pdf</t>
        </is>
      </c>
      <c r="B24" s="14" t="n"/>
      <c r="C24" s="15" t="inlineStr">
        <is>
          <t>CarParking1</t>
        </is>
      </c>
      <c r="D24" s="14" t="n"/>
      <c r="E24" s="14" t="n"/>
      <c r="F24" s="14" t="n"/>
      <c r="G24" s="14" t="n"/>
      <c r="H24" s="14" t="n">
        <v>0.95</v>
      </c>
    </row>
    <row r="25">
      <c r="A25" s="14" t="inlineStr">
        <is>
          <t>FullySigned_Allonge_II_Virtual_Vaults_Nederland.pdf</t>
        </is>
      </c>
      <c r="B25" s="14" t="n"/>
      <c r="C25" s="15" t="inlineStr">
        <is>
          <t>CarParking1</t>
        </is>
      </c>
      <c r="D25" s="14" t="n"/>
      <c r="E25" s="14" t="n"/>
      <c r="F25" s="14" t="n"/>
      <c r="G25" s="14" t="n"/>
      <c r="H25" s="14" t="n">
        <v>0.9695876288659794</v>
      </c>
    </row>
    <row r="26">
      <c r="A26" s="14" t="inlineStr">
        <is>
          <t>FullySigned_Lease_Agreement_Neste_EDGE_Coolsingel.pdf</t>
        </is>
      </c>
      <c r="B26" s="14" t="n"/>
      <c r="C26" s="15" t="n"/>
      <c r="D26" s="14" t="n"/>
      <c r="E26" s="14" t="n"/>
      <c r="F26" s="14" t="n"/>
      <c r="G26" s="14" t="n"/>
      <c r="H26" s="14" t="n"/>
    </row>
    <row r="27">
      <c r="A27" s="14" t="inlineStr">
        <is>
          <t>HOK Waalhaven Group (signed).pdf</t>
        </is>
      </c>
      <c r="B27" s="14" t="n"/>
      <c r="C27" s="15" t="inlineStr">
        <is>
          <t>CarParking1</t>
        </is>
      </c>
      <c r="D27" s="14" t="n"/>
      <c r="E27" s="14" t="n"/>
      <c r="F27" s="14" t="n"/>
      <c r="G27" s="14" t="n"/>
      <c r="H27" s="14" t="n">
        <v>0.9695876288659794</v>
      </c>
    </row>
    <row r="28">
      <c r="A28" s="14" t="inlineStr">
        <is>
          <t>Hovk Avans  (3e+4e+5e verd.) 20140425.pdf</t>
        </is>
      </c>
      <c r="B28" s="14" t="n"/>
      <c r="C28" s="15" t="inlineStr">
        <is>
          <t>CarParking1</t>
        </is>
      </c>
      <c r="D28" s="14" t="n"/>
      <c r="E28" s="14" t="n"/>
      <c r="F28" s="14" t="n"/>
      <c r="G28" s="14" t="n"/>
      <c r="H28" s="14" t="n">
        <v>0.95</v>
      </c>
    </row>
    <row r="29">
      <c r="A29" s="14" t="inlineStr">
        <is>
          <t>HOVK Power4People 2025.pdf</t>
        </is>
      </c>
      <c r="B29" s="14" t="n"/>
      <c r="C29" s="15" t="inlineStr">
        <is>
          <t>CarParking1</t>
        </is>
      </c>
      <c r="D29" s="14" t="n"/>
      <c r="E29" s="14" t="n"/>
      <c r="F29" s="14" t="n"/>
      <c r="G29" s="14" t="n"/>
      <c r="H29" s="14" t="n">
        <v>0.9695876288659794</v>
      </c>
    </row>
    <row r="30">
      <c r="A30" s="14" t="inlineStr">
        <is>
          <t>Huurovereenkomst (Semmie Group B.V.) - Wilhelminasingel 19, Breda.pdf</t>
        </is>
      </c>
      <c r="B30" s="14" t="n"/>
      <c r="C30" s="15" t="inlineStr">
        <is>
          <t>CarParking1</t>
        </is>
      </c>
      <c r="D30" s="14" t="n"/>
      <c r="E30" s="14" t="n"/>
      <c r="F30" s="14" t="n"/>
      <c r="G30" s="14" t="n"/>
      <c r="H30" s="14" t="n">
        <v>0.9647668393782383</v>
      </c>
    </row>
    <row r="31">
      <c r="A31" s="14" t="inlineStr">
        <is>
          <t>Huurovereenkomst - proces-verbaal van oplevering - sleuteloverdracht - Kennedyplein 101 - getekend.pdf</t>
        </is>
      </c>
      <c r="B31" s="14" t="n"/>
      <c r="C31" s="15" t="n"/>
      <c r="D31" s="14" t="n"/>
      <c r="E31" s="14" t="n"/>
      <c r="F31" s="14" t="n"/>
      <c r="G31" s="14" t="n"/>
      <c r="H31" s="14" t="n"/>
    </row>
    <row r="32">
      <c r="A32" s="14" t="inlineStr">
        <is>
          <t>Huurovereenkomst Bijster 5 te Breda getekend.pdf</t>
        </is>
      </c>
      <c r="B32" s="14" t="n"/>
      <c r="C32" s="15" t="inlineStr">
        <is>
          <t>CarParking1</t>
        </is>
      </c>
      <c r="D32" s="14" t="n"/>
      <c r="E32" s="14" t="n"/>
      <c r="F32" s="14" t="n"/>
      <c r="G32" s="14" t="n"/>
      <c r="H32" s="14" t="n">
        <v>0.95</v>
      </c>
    </row>
    <row r="33">
      <c r="A33" s="14" t="inlineStr">
        <is>
          <t>Huurovereenkomst Catena Pand Son - Skymark (Son en Breugel - NLD).pdf</t>
        </is>
      </c>
      <c r="B33" s="14" t="n"/>
      <c r="C33" s="15" t="n"/>
      <c r="D33" s="14" t="n"/>
      <c r="E33" s="14" t="n"/>
      <c r="F33" s="14" t="n"/>
      <c r="G33" s="14" t="n"/>
      <c r="H33" s="14" t="n"/>
    </row>
    <row r="34">
      <c r="A34" s="14" t="inlineStr">
        <is>
          <t>Huurovereenkomst KPN Opstelpunt Parallelweg 64 20130313.pdf</t>
        </is>
      </c>
      <c r="B34" s="14" t="n"/>
      <c r="C34" s="15" t="n"/>
      <c r="D34" s="14" t="n"/>
      <c r="E34" s="14" t="n"/>
      <c r="F34" s="14" t="n"/>
      <c r="G34" s="14" t="n"/>
      <c r="H34" s="14" t="n"/>
    </row>
    <row r="35">
      <c r="A35" s="14" t="inlineStr">
        <is>
          <t>Huurovereenkomst PBG Parallelweg 64 (beg.grond) 20121008.pdf</t>
        </is>
      </c>
      <c r="B35" s="14" t="n"/>
      <c r="C35" s="15" t="inlineStr">
        <is>
          <t>CarParking1</t>
        </is>
      </c>
      <c r="D35" s="14" t="n"/>
      <c r="E35" s="14" t="n"/>
      <c r="F35" s="14" t="n"/>
      <c r="G35" s="14" t="n"/>
      <c r="H35" s="14" t="n">
        <v>0.9695876288659794</v>
      </c>
    </row>
    <row r="36">
      <c r="A36" s="14" t="inlineStr">
        <is>
          <t>MWO CBRE SPA (ITALY) CBRE_090724.pdf</t>
        </is>
      </c>
      <c r="B36" s="14" t="n"/>
      <c r="C36" s="15" t="n"/>
      <c r="D36" s="14" t="n"/>
      <c r="E36" s="14" t="n"/>
      <c r="F36" s="14" t="n"/>
      <c r="G36" s="14" t="n"/>
      <c r="H36" s="14" t="n"/>
    </row>
  </sheetData>
  <dataValidations count="1">
    <dataValidation sqref="D2:D36 G2:G36" showDropDown="0" showInputMessage="0" showErrorMessage="0" allowBlank="1" errorTitle="Invalid result" error="Pick one of TP, TN, FP, FN" type="list">
      <formula1>"TP,TN,FP,FN"</formula1>
    </dataValidation>
  </dataValidations>
  <hyperlinks>
    <hyperlink ref="K1" location="Summary!A1" display="SUMMARY SHEET"/>
    <hyperlink ref="N1" location="'Page Summary'!A1" display="PAGE SUMMARY SHEET"/>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2026-10-07T12:14:53Z</dcterms:created>
  <dcterms:modified xsi:type="dcterms:W3CDTF">2026-10-08T07:37:14Z</dcterms:modified>
  <cp:lastModifiedBy>Masi, Avinash @ Global D&amp;T Contractor</cp:lastModifiedBy>
</cp:coreProperties>
</file>